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入力" sheetId="1" state="visible" r:id="rId3"/>
    <sheet name="課長報告" sheetId="2" state="visible" r:id="rId4"/>
    <sheet name="設定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<sst xmlns="http://schemas.openxmlformats.org/spreadsheetml/2006/main" count="173" uniqueCount="49">
  <si>
    <t xml:space="preserve">時報入力シート</t>
  </si>
  <si>
    <t xml:space="preserve">日付</t>
  </si>
  <si>
    <t xml:space="preserve">【入力ルール】黄色セル＝手入力（その時間帯に発生した件数）／グレー＝自動計算。メンバー名は「設定」シートで変更します。</t>
  </si>
  <si>
    <r>
      <rPr>
        <sz val="9"/>
        <color rgb="FFC00000"/>
        <rFont val="WenQuanYi Zen Hei"/>
        <family val="2"/>
      </rPr>
      <t xml:space="preserve">※ 〜</t>
    </r>
    <r>
      <rPr>
        <sz val="9"/>
        <color rgb="FFC00000"/>
        <rFont val="Arial"/>
        <family val="0"/>
        <charset val="1"/>
      </rPr>
      <t xml:space="preserve">12:30</t>
    </r>
    <r>
      <rPr>
        <sz val="9"/>
        <color rgb="FFC00000"/>
        <rFont val="WenQuanYi Zen Hei"/>
        <family val="2"/>
      </rPr>
      <t xml:space="preserve">ブロックにはサンプル値が入っています。実運用時は上書き（または削除）してください。</t>
    </r>
  </si>
  <si>
    <r>
      <rPr>
        <b val="true"/>
        <sz val="10"/>
        <color rgb="FFFFFFFF"/>
        <rFont val="WenQuanYi Zen Hei"/>
        <family val="2"/>
      </rPr>
      <t xml:space="preserve">【〜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】</t>
    </r>
  </si>
  <si>
    <t xml:space="preserve">合計</t>
  </si>
  <si>
    <t xml:space="preserve">有効提案取得（自アポ）</t>
  </si>
  <si>
    <t xml:space="preserve">新規訪問数（自アポ）</t>
  </si>
  <si>
    <r>
      <rPr>
        <b val="true"/>
        <sz val="10"/>
        <rFont val="WenQuanYi Zen Hei"/>
        <family val="2"/>
      </rPr>
      <t xml:space="preserve">有効提案取得（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</si>
  <si>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新規訪問数（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</si>
  <si>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当日提案取得数</t>
  </si>
  <si>
    <t xml:space="preserve">有効ヨミ取得</t>
  </si>
  <si>
    <t xml:space="preserve">提案訪問数</t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</si>
  <si>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】</t>
    </r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</si>
  <si>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〜終業】</t>
    </r>
  </si>
  <si>
    <t xml:space="preserve">【当日累計】（自動計算）</t>
  </si>
  <si>
    <t xml:space="preserve">課長報告シート（部長への時報）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</si>
  <si>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課の数値は「入力」シートから自動集計（グレー）。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課・安部は把握できる場合のみ水色セルに入力（空欄可）。右側の緑セルの文面をコピーして部長へ送信してください。</t>
    </r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</si>
  <si>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時半・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課）</t>
    </r>
  </si>
  <si>
    <t xml:space="preserve">【有効提案取得（自アポ）】</t>
  </si>
  <si>
    <t xml:space="preserve">有効提案取得</t>
  </si>
  <si>
    <t xml:space="preserve">新規訪問数</t>
  </si>
  <si>
    <t xml:space="preserve">率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</si>
  <si>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課</t>
    </r>
  </si>
  <si>
    <t xml:space="preserve">/</t>
  </si>
  <si>
    <t xml:space="preserve">=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</si>
  <si>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課</t>
    </r>
  </si>
  <si>
    <t xml:space="preserve">安部</t>
  </si>
  <si>
    <t xml:space="preserve">合算</t>
  </si>
  <si>
    <r>
      <rPr>
        <b val="true"/>
        <sz val="10"/>
        <rFont val="WenQuanYi Zen Hei"/>
        <family val="2"/>
      </rPr>
      <t xml:space="preserve">【有効提案取得（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）】</t>
    </r>
  </si>
  <si>
    <r>
      <rPr>
        <b val="true"/>
        <sz val="10"/>
        <rFont val="Arial"/>
        <family val="0"/>
        <charset val="1"/>
      </rPr>
      <t xml:space="preserve">▼ 1</t>
    </r>
    <r>
      <rPr>
        <b val="true"/>
        <sz val="10"/>
        <rFont val="WenQuanYi Zen Hei"/>
        <family val="2"/>
      </rPr>
      <t xml:space="preserve">部全体版（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時半・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課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安部入力時）</t>
    </r>
  </si>
  <si>
    <t xml:space="preserve">【当日提案取得数】</t>
  </si>
  <si>
    <t xml:space="preserve">件</t>
  </si>
  <si>
    <t xml:space="preserve">【有効ヨミ取得数】</t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</si>
  <si>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時半・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課）</t>
    </r>
  </si>
  <si>
    <r>
      <rPr>
        <b val="true"/>
        <sz val="10"/>
        <rFont val="Arial"/>
        <family val="0"/>
        <charset val="1"/>
      </rPr>
      <t xml:space="preserve">▼ 1</t>
    </r>
    <r>
      <rPr>
        <b val="true"/>
        <sz val="10"/>
        <rFont val="WenQuanYi Zen Hei"/>
        <family val="2"/>
      </rPr>
      <t xml:space="preserve">部全体版（</t>
    </r>
    <r>
      <rPr>
        <b val="true"/>
        <sz val="10"/>
        <rFont val="Arial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時半・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課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安部入力時）</t>
    </r>
  </si>
  <si>
    <t xml:space="preserve">設定</t>
  </si>
  <si>
    <t xml:space="preserve">部署名</t>
  </si>
  <si>
    <r>
      <rPr>
        <sz val="10"/>
        <rFont val="Arial"/>
        <family val="0"/>
        <charset val="1"/>
      </rPr>
      <t xml:space="preserve">SL</t>
    </r>
    <r>
      <rPr>
        <sz val="10"/>
        <rFont val="WenQuanYi Zen Hei"/>
        <family val="2"/>
      </rPr>
      <t xml:space="preserve">東京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</t>
    </r>
  </si>
  <si>
    <t xml:space="preserve">時報タイトル（部）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</si>
  <si>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</si>
  <si>
    <t xml:space="preserve">No.</t>
  </si>
  <si>
    <t xml:space="preserve">メンバー名</t>
  </si>
  <si>
    <t xml:space="preserve">松下 魁翔</t>
  </si>
  <si>
    <t xml:space="preserve">中村 遼太</t>
  </si>
  <si>
    <t xml:space="preserve">加藤 真央</t>
  </si>
  <si>
    <t xml:space="preserve">大門 隼人</t>
  </si>
  <si>
    <t xml:space="preserve">杉本 賢亮</t>
  </si>
  <si>
    <r>
      <rPr>
        <sz val="9"/>
        <color rgb="FF7F7F7F"/>
        <rFont val="WenQuanYi Zen Hei"/>
        <family val="2"/>
      </rPr>
      <t xml:space="preserve">※ 黄色セルを変更すると「入力」「課長報告」シートに自動反映されます。</t>
    </r>
    <r>
      <rPr>
        <sz val="9"/>
        <color rgb="FF7F7F7F"/>
        <rFont val="Arial"/>
        <family val="0"/>
        <charset val="1"/>
      </rPr>
      <t xml:space="preserve">No.6</t>
    </r>
    <r>
      <rPr>
        <sz val="9"/>
        <color rgb="FF7F7F7F"/>
        <rFont val="WenQuanYi Zen Hei"/>
        <family val="2"/>
      </rPr>
      <t xml:space="preserve">・</t>
    </r>
    <r>
      <rPr>
        <sz val="9"/>
        <color rgb="FF7F7F7F"/>
        <rFont val="Arial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は増員用の予備枠です。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</si>
</sst>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General"/>
    <numFmt numFmtId="167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sz val="10"/>
      <name val="WenQuanYi Zen Hei"/>
      <family val="2"/>
    </font>
    <font>
      <sz val="11"/>
      <color theme="1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9C4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1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46293</v>
      </c>
      <c r="D2" s="2" t="str">
        <f aca="false">設定!B3</f>
        <v>SL東京1部1課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5" t="s">
        <v>3</v>
      </c>
    </row>
    <row r="6" customFormat="false" ht="15" hidden="false" customHeight="false" outlineLevel="0" collapsed="false">
      <c r="A6" s="6" t="s">
        <v>4</v>
      </c>
      <c r="B6" s="7" t="str">
        <f aca="false">IF(設定!B7="","",設定!B7)</f>
        <v>松下 魁翔</v>
      </c>
      <c r="C6" s="7" t="str">
        <f aca="false">IF(設定!B8="","",設定!B8)</f>
        <v>中村 遼太</v>
      </c>
      <c r="D6" s="7" t="str">
        <f aca="false">IF(設定!B9="","",設定!B9)</f>
        <v>加藤 真央</v>
      </c>
      <c r="E6" s="7" t="str">
        <f aca="false">IF(設定!B10="","",設定!B10)</f>
        <v>大門 隼人</v>
      </c>
      <c r="F6" s="7" t="str">
        <f aca="false">IF(設定!B11="","",設定!B11)</f>
        <v>杉本 賢亮</v>
      </c>
      <c r="G6" s="7" t="str">
        <f aca="false">IF(設定!B12="","",設定!B12)</f>
        <v/>
      </c>
      <c r="H6" s="7" t="str">
        <f aca="false">IF(設定!B13="","",設定!B13)</f>
        <v/>
      </c>
      <c r="I6" s="7" t="s">
        <v>5</v>
      </c>
    </row>
    <row r="7" customFormat="false" ht="15" hidden="false" customHeight="false" outlineLevel="0" collapsed="false">
      <c r="A7" s="8" t="s">
        <v>6</v>
      </c>
      <c r="B7" s="9" t="n">
        <v>1</v>
      </c>
      <c r="C7" s="9" t="n">
        <v>0</v>
      </c>
      <c r="D7" s="9" t="n">
        <v>1</v>
      </c>
      <c r="E7" s="9" t="n">
        <v>0</v>
      </c>
      <c r="F7" s="9" t="n">
        <v>1</v>
      </c>
      <c r="G7" s="9"/>
      <c r="H7" s="9"/>
      <c r="I7" s="10" t="n">
        <f aca="false">SUM(B7:H7)</f>
        <v>3</v>
      </c>
    </row>
    <row r="8" customFormat="false" ht="15" hidden="false" customHeight="false" outlineLevel="0" collapsed="false">
      <c r="A8" s="8" t="s">
        <v>7</v>
      </c>
      <c r="B8" s="9" t="n">
        <v>3</v>
      </c>
      <c r="C8" s="9" t="n">
        <v>2</v>
      </c>
      <c r="D8" s="9" t="n">
        <v>4</v>
      </c>
      <c r="E8" s="9" t="n">
        <v>3</v>
      </c>
      <c r="F8" s="9" t="n">
        <v>2</v>
      </c>
      <c r="G8" s="9"/>
      <c r="H8" s="9"/>
      <c r="I8" s="10" t="n">
        <f aca="false">SUM(B8:H8)</f>
        <v>14</v>
      </c>
    </row>
    <row r="9" customFormat="false" ht="15" hidden="false" customHeight="false" outlineLevel="0" collapsed="false">
      <c r="A9" s="8" t="s">
        <v>8</v>
      </c>
      <c r="B9" s="9" t="n">
        <v>0</v>
      </c>
      <c r="C9" s="9" t="n">
        <v>1</v>
      </c>
      <c r="D9" s="9" t="n">
        <v>0</v>
      </c>
      <c r="E9" s="9" t="n">
        <v>1</v>
      </c>
      <c r="F9" s="9" t="n">
        <v>1</v>
      </c>
      <c r="G9" s="9"/>
      <c r="H9" s="9"/>
      <c r="I9" s="10" t="n">
        <f aca="false">SUM(B9:H9)</f>
        <v>3</v>
      </c>
    </row>
    <row r="10" customFormat="false" ht="15" hidden="false" customHeight="false" outlineLevel="0" collapsed="false">
      <c r="A10" s="8" t="s">
        <v>9</v>
      </c>
      <c r="B10" s="9" t="n">
        <v>2</v>
      </c>
      <c r="C10" s="9" t="n">
        <v>3</v>
      </c>
      <c r="D10" s="9" t="n">
        <v>1</v>
      </c>
      <c r="E10" s="9" t="n">
        <v>2</v>
      </c>
      <c r="F10" s="9" t="n">
        <v>3</v>
      </c>
      <c r="G10" s="9"/>
      <c r="H10" s="9"/>
      <c r="I10" s="10" t="n">
        <f aca="false">SUM(B10:H10)</f>
        <v>11</v>
      </c>
    </row>
    <row r="11" customFormat="false" ht="15" hidden="false" customHeight="false" outlineLevel="0" collapsed="false">
      <c r="A11" s="8" t="s">
        <v>10</v>
      </c>
      <c r="B11" s="9" t="n">
        <v>1</v>
      </c>
      <c r="C11" s="9" t="n">
        <v>1</v>
      </c>
      <c r="D11" s="9" t="n">
        <v>1</v>
      </c>
      <c r="E11" s="9" t="n">
        <v>0</v>
      </c>
      <c r="F11" s="9" t="n">
        <v>2</v>
      </c>
      <c r="G11" s="9"/>
      <c r="H11" s="9"/>
      <c r="I11" s="10" t="n">
        <f aca="false">SUM(B11:H11)</f>
        <v>5</v>
      </c>
    </row>
    <row r="12" customFormat="false" ht="15" hidden="false" customHeight="false" outlineLevel="0" collapsed="false">
      <c r="A12" s="8" t="s">
        <v>11</v>
      </c>
      <c r="B12" s="9" t="n">
        <v>1</v>
      </c>
      <c r="C12" s="9" t="n">
        <v>0</v>
      </c>
      <c r="D12" s="9" t="n">
        <v>1</v>
      </c>
      <c r="E12" s="9" t="n">
        <v>1</v>
      </c>
      <c r="F12" s="9" t="n">
        <v>0</v>
      </c>
      <c r="G12" s="9"/>
      <c r="H12" s="9"/>
      <c r="I12" s="10" t="n">
        <f aca="false">SUM(B12:H12)</f>
        <v>3</v>
      </c>
    </row>
    <row r="13" customFormat="false" ht="15" hidden="false" customHeight="false" outlineLevel="0" collapsed="false">
      <c r="A13" s="8" t="s">
        <v>12</v>
      </c>
      <c r="B13" s="9" t="n">
        <v>2</v>
      </c>
      <c r="C13" s="9" t="n">
        <v>1</v>
      </c>
      <c r="D13" s="9" t="n">
        <v>2</v>
      </c>
      <c r="E13" s="9" t="n">
        <v>1</v>
      </c>
      <c r="F13" s="9" t="n">
        <v>2</v>
      </c>
      <c r="G13" s="9"/>
      <c r="H13" s="9"/>
      <c r="I13" s="10" t="n">
        <f aca="false">SUM(B13:H13)</f>
        <v>8</v>
      </c>
    </row>
    <row r="15" customFormat="false" ht="15" hidden="false" customHeight="false" outlineLevel="0" collapsed="false">
      <c r="A15" s="6" t="s">
        <v>13</v>
      </c>
      <c r="B15" s="7" t="str">
        <f aca="false">IF(設定!B7="","",設定!B7)</f>
        <v>松下 魁翔</v>
      </c>
      <c r="C15" s="7" t="str">
        <f aca="false">IF(設定!B8="","",設定!B8)</f>
        <v>中村 遼太</v>
      </c>
      <c r="D15" s="7" t="str">
        <f aca="false">IF(設定!B9="","",設定!B9)</f>
        <v>加藤 真央</v>
      </c>
      <c r="E15" s="7" t="str">
        <f aca="false">IF(設定!B10="","",設定!B10)</f>
        <v>大門 隼人</v>
      </c>
      <c r="F15" s="7" t="str">
        <f aca="false">IF(設定!B11="","",設定!B11)</f>
        <v>杉本 賢亮</v>
      </c>
      <c r="G15" s="7" t="str">
        <f aca="false">IF(設定!B12="","",設定!B12)</f>
        <v/>
      </c>
      <c r="H15" s="7" t="str">
        <f aca="false">IF(設定!B13="","",設定!B13)</f>
        <v/>
      </c>
      <c r="I15" s="7" t="s">
        <v>5</v>
      </c>
    </row>
    <row r="16" customFormat="false" ht="15" hidden="false" customHeight="false" outlineLevel="0" collapsed="false">
      <c r="A16" s="8" t="s">
        <v>6</v>
      </c>
      <c r="B16" s="9"/>
      <c r="C16" s="9"/>
      <c r="D16" s="9"/>
      <c r="E16" s="9"/>
      <c r="F16" s="9"/>
      <c r="G16" s="9"/>
      <c r="H16" s="9"/>
      <c r="I16" s="10" t="n">
        <f aca="false">SUM(B16:H16)</f>
        <v>0</v>
      </c>
    </row>
    <row r="17" customFormat="false" ht="15" hidden="false" customHeight="false" outlineLevel="0" collapsed="false">
      <c r="A17" s="8" t="s">
        <v>7</v>
      </c>
      <c r="B17" s="9"/>
      <c r="C17" s="9"/>
      <c r="D17" s="9"/>
      <c r="E17" s="9"/>
      <c r="F17" s="9"/>
      <c r="G17" s="9"/>
      <c r="H17" s="9"/>
      <c r="I17" s="10" t="n">
        <f aca="false">SUM(B17:H17)</f>
        <v>0</v>
      </c>
    </row>
    <row r="18" customFormat="false" ht="15" hidden="false" customHeight="false" outlineLevel="0" collapsed="false">
      <c r="A18" s="8" t="s">
        <v>8</v>
      </c>
      <c r="B18" s="9"/>
      <c r="C18" s="9"/>
      <c r="D18" s="9"/>
      <c r="E18" s="9"/>
      <c r="F18" s="9"/>
      <c r="G18" s="9"/>
      <c r="H18" s="9"/>
      <c r="I18" s="10" t="n">
        <f aca="false">SUM(B18:H18)</f>
        <v>0</v>
      </c>
    </row>
    <row r="19" customFormat="false" ht="15" hidden="false" customHeight="false" outlineLevel="0" collapsed="false">
      <c r="A19" s="8" t="s">
        <v>9</v>
      </c>
      <c r="B19" s="9"/>
      <c r="C19" s="9"/>
      <c r="D19" s="9"/>
      <c r="E19" s="9"/>
      <c r="F19" s="9"/>
      <c r="G19" s="9"/>
      <c r="H19" s="9"/>
      <c r="I19" s="10" t="n">
        <f aca="false">SUM(B19:H19)</f>
        <v>0</v>
      </c>
    </row>
    <row r="20" customFormat="false" ht="15" hidden="false" customHeight="false" outlineLevel="0" collapsed="false">
      <c r="A20" s="8" t="s">
        <v>10</v>
      </c>
      <c r="B20" s="9"/>
      <c r="C20" s="9"/>
      <c r="D20" s="9"/>
      <c r="E20" s="9"/>
      <c r="F20" s="9"/>
      <c r="G20" s="9"/>
      <c r="H20" s="9"/>
      <c r="I20" s="10" t="n">
        <f aca="false">SUM(B20:H20)</f>
        <v>0</v>
      </c>
    </row>
    <row r="21" customFormat="false" ht="15" hidden="false" customHeight="false" outlineLevel="0" collapsed="false">
      <c r="A21" s="8" t="s">
        <v>11</v>
      </c>
      <c r="B21" s="9"/>
      <c r="C21" s="9"/>
      <c r="D21" s="9"/>
      <c r="E21" s="9"/>
      <c r="F21" s="9"/>
      <c r="G21" s="9"/>
      <c r="H21" s="9"/>
      <c r="I21" s="10" t="n">
        <f aca="false">SUM(B21:H21)</f>
        <v>0</v>
      </c>
    </row>
    <row r="22" customFormat="false" ht="15" hidden="false" customHeight="false" outlineLevel="0" collapsed="false">
      <c r="A22" s="8" t="s">
        <v>12</v>
      </c>
      <c r="B22" s="9"/>
      <c r="C22" s="9"/>
      <c r="D22" s="9"/>
      <c r="E22" s="9"/>
      <c r="F22" s="9"/>
      <c r="G22" s="9"/>
      <c r="H22" s="9"/>
      <c r="I22" s="10" t="n">
        <f aca="false">SUM(B22:H22)</f>
        <v>0</v>
      </c>
    </row>
    <row r="24" customFormat="false" ht="15" hidden="false" customHeight="false" outlineLevel="0" collapsed="false">
      <c r="A24" s="6" t="s">
        <v>14</v>
      </c>
      <c r="B24" s="7" t="str">
        <f aca="false">IF(設定!B7="","",設定!B7)</f>
        <v>松下 魁翔</v>
      </c>
      <c r="C24" s="7" t="str">
        <f aca="false">IF(設定!B8="","",設定!B8)</f>
        <v>中村 遼太</v>
      </c>
      <c r="D24" s="7" t="str">
        <f aca="false">IF(設定!B9="","",設定!B9)</f>
        <v>加藤 真央</v>
      </c>
      <c r="E24" s="7" t="str">
        <f aca="false">IF(設定!B10="","",設定!B10)</f>
        <v>大門 隼人</v>
      </c>
      <c r="F24" s="7" t="str">
        <f aca="false">IF(設定!B11="","",設定!B11)</f>
        <v>杉本 賢亮</v>
      </c>
      <c r="G24" s="7" t="str">
        <f aca="false">IF(設定!B12="","",設定!B12)</f>
        <v/>
      </c>
      <c r="H24" s="7" t="str">
        <f aca="false">IF(設定!B13="","",設定!B13)</f>
        <v/>
      </c>
      <c r="I24" s="7" t="s">
        <v>5</v>
      </c>
    </row>
    <row r="25" customFormat="false" ht="15" hidden="false" customHeight="false" outlineLevel="0" collapsed="false">
      <c r="A25" s="8" t="s">
        <v>6</v>
      </c>
      <c r="B25" s="9"/>
      <c r="C25" s="9"/>
      <c r="D25" s="9"/>
      <c r="E25" s="9"/>
      <c r="F25" s="9"/>
      <c r="G25" s="9"/>
      <c r="H25" s="9"/>
      <c r="I25" s="10" t="n">
        <f aca="false">SUM(B25:H25)</f>
        <v>0</v>
      </c>
    </row>
    <row r="26" customFormat="false" ht="15" hidden="false" customHeight="false" outlineLevel="0" collapsed="false">
      <c r="A26" s="8" t="s">
        <v>7</v>
      </c>
      <c r="B26" s="9"/>
      <c r="C26" s="9"/>
      <c r="D26" s="9"/>
      <c r="E26" s="9"/>
      <c r="F26" s="9"/>
      <c r="G26" s="9"/>
      <c r="H26" s="9"/>
      <c r="I26" s="10" t="n">
        <f aca="false">SUM(B26:H26)</f>
        <v>0</v>
      </c>
    </row>
    <row r="27" customFormat="false" ht="15" hidden="false" customHeight="false" outlineLevel="0" collapsed="false">
      <c r="A27" s="8" t="s">
        <v>8</v>
      </c>
      <c r="B27" s="9"/>
      <c r="C27" s="9"/>
      <c r="D27" s="9"/>
      <c r="E27" s="9"/>
      <c r="F27" s="9"/>
      <c r="G27" s="9"/>
      <c r="H27" s="9"/>
      <c r="I27" s="10" t="n">
        <f aca="false">SUM(B27:H27)</f>
        <v>0</v>
      </c>
    </row>
    <row r="28" customFormat="false" ht="15" hidden="false" customHeight="false" outlineLevel="0" collapsed="false">
      <c r="A28" s="8" t="s">
        <v>9</v>
      </c>
      <c r="B28" s="9"/>
      <c r="C28" s="9"/>
      <c r="D28" s="9"/>
      <c r="E28" s="9"/>
      <c r="F28" s="9"/>
      <c r="G28" s="9"/>
      <c r="H28" s="9"/>
      <c r="I28" s="10" t="n">
        <f aca="false">SUM(B28:H28)</f>
        <v>0</v>
      </c>
    </row>
    <row r="29" customFormat="false" ht="15" hidden="false" customHeight="false" outlineLevel="0" collapsed="false">
      <c r="A29" s="8" t="s">
        <v>10</v>
      </c>
      <c r="B29" s="9"/>
      <c r="C29" s="9"/>
      <c r="D29" s="9"/>
      <c r="E29" s="9"/>
      <c r="F29" s="9"/>
      <c r="G29" s="9"/>
      <c r="H29" s="9"/>
      <c r="I29" s="10" t="n">
        <f aca="false">SUM(B29:H29)</f>
        <v>0</v>
      </c>
    </row>
    <row r="30" customFormat="false" ht="15" hidden="false" customHeight="false" outlineLevel="0" collapsed="false">
      <c r="A30" s="8" t="s">
        <v>11</v>
      </c>
      <c r="B30" s="9"/>
      <c r="C30" s="9"/>
      <c r="D30" s="9"/>
      <c r="E30" s="9"/>
      <c r="F30" s="9"/>
      <c r="G30" s="9"/>
      <c r="H30" s="9"/>
      <c r="I30" s="10" t="n">
        <f aca="false">SUM(B30:H30)</f>
        <v>0</v>
      </c>
    </row>
    <row r="31" customFormat="false" ht="15" hidden="false" customHeight="false" outlineLevel="0" collapsed="false">
      <c r="A31" s="8" t="s">
        <v>12</v>
      </c>
      <c r="B31" s="9"/>
      <c r="C31" s="9"/>
      <c r="D31" s="9"/>
      <c r="E31" s="9"/>
      <c r="F31" s="9"/>
      <c r="G31" s="9"/>
      <c r="H31" s="9"/>
      <c r="I31" s="10" t="n">
        <f aca="false">SUM(B31:H31)</f>
        <v>0</v>
      </c>
    </row>
    <row r="33" customFormat="false" ht="15" hidden="false" customHeight="false" outlineLevel="0" collapsed="false">
      <c r="A33" s="6" t="s">
        <v>15</v>
      </c>
      <c r="B33" s="7" t="str">
        <f aca="false">IF(設定!B7="","",設定!B7)</f>
        <v>松下 魁翔</v>
      </c>
      <c r="C33" s="7" t="str">
        <f aca="false">IF(設定!B8="","",設定!B8)</f>
        <v>中村 遼太</v>
      </c>
      <c r="D33" s="7" t="str">
        <f aca="false">IF(設定!B9="","",設定!B9)</f>
        <v>加藤 真央</v>
      </c>
      <c r="E33" s="7" t="str">
        <f aca="false">IF(設定!B10="","",設定!B10)</f>
        <v>大門 隼人</v>
      </c>
      <c r="F33" s="7" t="str">
        <f aca="false">IF(設定!B11="","",設定!B11)</f>
        <v>杉本 賢亮</v>
      </c>
      <c r="G33" s="7" t="str">
        <f aca="false">IF(設定!B12="","",設定!B12)</f>
        <v/>
      </c>
      <c r="H33" s="7" t="str">
        <f aca="false">IF(設定!B13="","",設定!B13)</f>
        <v/>
      </c>
      <c r="I33" s="7" t="s">
        <v>5</v>
      </c>
    </row>
    <row r="34" customFormat="false" ht="15" hidden="false" customHeight="false" outlineLevel="0" collapsed="false">
      <c r="A34" s="8" t="s">
        <v>6</v>
      </c>
      <c r="B34" s="11" t="n">
        <f aca="false">SUM(B7,B16,B25)</f>
        <v>1</v>
      </c>
      <c r="C34" s="11" t="n">
        <f aca="false">SUM(C7,C16,C25)</f>
        <v>0</v>
      </c>
      <c r="D34" s="11" t="n">
        <f aca="false">SUM(D7,D16,D25)</f>
        <v>1</v>
      </c>
      <c r="E34" s="11" t="n">
        <f aca="false">SUM(E7,E16,E25)</f>
        <v>0</v>
      </c>
      <c r="F34" s="11" t="n">
        <f aca="false">SUM(F7,F16,F25)</f>
        <v>1</v>
      </c>
      <c r="G34" s="11" t="n">
        <f aca="false">SUM(G7,G16,G25)</f>
        <v>0</v>
      </c>
      <c r="H34" s="11" t="n">
        <f aca="false">SUM(H7,H16,H25)</f>
        <v>0</v>
      </c>
      <c r="I34" s="10" t="n">
        <f aca="false">SUM(B34:H34)</f>
        <v>3</v>
      </c>
    </row>
    <row r="35" customFormat="false" ht="15" hidden="false" customHeight="false" outlineLevel="0" collapsed="false">
      <c r="A35" s="8" t="s">
        <v>7</v>
      </c>
      <c r="B35" s="11" t="n">
        <f aca="false">SUM(B8,B17,B26)</f>
        <v>3</v>
      </c>
      <c r="C35" s="11" t="n">
        <f aca="false">SUM(C8,C17,C26)</f>
        <v>2</v>
      </c>
      <c r="D35" s="11" t="n">
        <f aca="false">SUM(D8,D17,D26)</f>
        <v>4</v>
      </c>
      <c r="E35" s="11" t="n">
        <f aca="false">SUM(E8,E17,E26)</f>
        <v>3</v>
      </c>
      <c r="F35" s="11" t="n">
        <f aca="false">SUM(F8,F17,F26)</f>
        <v>2</v>
      </c>
      <c r="G35" s="11" t="n">
        <f aca="false">SUM(G8,G17,G26)</f>
        <v>0</v>
      </c>
      <c r="H35" s="11" t="n">
        <f aca="false">SUM(H8,H17,H26)</f>
        <v>0</v>
      </c>
      <c r="I35" s="10" t="n">
        <f aca="false">SUM(B35:H35)</f>
        <v>14</v>
      </c>
    </row>
    <row r="36" customFormat="false" ht="15" hidden="false" customHeight="false" outlineLevel="0" collapsed="false">
      <c r="A36" s="8" t="s">
        <v>8</v>
      </c>
      <c r="B36" s="11" t="n">
        <f aca="false">SUM(B9,B18,B27)</f>
        <v>0</v>
      </c>
      <c r="C36" s="11" t="n">
        <f aca="false">SUM(C9,C18,C27)</f>
        <v>1</v>
      </c>
      <c r="D36" s="11" t="n">
        <f aca="false">SUM(D9,D18,D27)</f>
        <v>0</v>
      </c>
      <c r="E36" s="11" t="n">
        <f aca="false">SUM(E9,E18,E27)</f>
        <v>1</v>
      </c>
      <c r="F36" s="11" t="n">
        <f aca="false">SUM(F9,F18,F27)</f>
        <v>1</v>
      </c>
      <c r="G36" s="11" t="n">
        <f aca="false">SUM(G9,G18,G27)</f>
        <v>0</v>
      </c>
      <c r="H36" s="11" t="n">
        <f aca="false">SUM(H9,H18,H27)</f>
        <v>0</v>
      </c>
      <c r="I36" s="10" t="n">
        <f aca="false">SUM(B36:H36)</f>
        <v>3</v>
      </c>
    </row>
    <row r="37" customFormat="false" ht="15" hidden="false" customHeight="false" outlineLevel="0" collapsed="false">
      <c r="A37" s="8" t="s">
        <v>9</v>
      </c>
      <c r="B37" s="11" t="n">
        <f aca="false">SUM(B10,B19,B28)</f>
        <v>2</v>
      </c>
      <c r="C37" s="11" t="n">
        <f aca="false">SUM(C10,C19,C28)</f>
        <v>3</v>
      </c>
      <c r="D37" s="11" t="n">
        <f aca="false">SUM(D10,D19,D28)</f>
        <v>1</v>
      </c>
      <c r="E37" s="11" t="n">
        <f aca="false">SUM(E10,E19,E28)</f>
        <v>2</v>
      </c>
      <c r="F37" s="11" t="n">
        <f aca="false">SUM(F10,F19,F28)</f>
        <v>3</v>
      </c>
      <c r="G37" s="11" t="n">
        <f aca="false">SUM(G10,G19,G28)</f>
        <v>0</v>
      </c>
      <c r="H37" s="11" t="n">
        <f aca="false">SUM(H10,H19,H28)</f>
        <v>0</v>
      </c>
      <c r="I37" s="10" t="n">
        <f aca="false">SUM(B37:H37)</f>
        <v>11</v>
      </c>
    </row>
    <row r="38" customFormat="false" ht="15" hidden="false" customHeight="false" outlineLevel="0" collapsed="false">
      <c r="A38" s="8" t="s">
        <v>10</v>
      </c>
      <c r="B38" s="11" t="n">
        <f aca="false">SUM(B11,B20,B29)</f>
        <v>1</v>
      </c>
      <c r="C38" s="11" t="n">
        <f aca="false">SUM(C11,C20,C29)</f>
        <v>1</v>
      </c>
      <c r="D38" s="11" t="n">
        <f aca="false">SUM(D11,D20,D29)</f>
        <v>1</v>
      </c>
      <c r="E38" s="11" t="n">
        <f aca="false">SUM(E11,E20,E29)</f>
        <v>0</v>
      </c>
      <c r="F38" s="11" t="n">
        <f aca="false">SUM(F11,F20,F29)</f>
        <v>2</v>
      </c>
      <c r="G38" s="11" t="n">
        <f aca="false">SUM(G11,G20,G29)</f>
        <v>0</v>
      </c>
      <c r="H38" s="11" t="n">
        <f aca="false">SUM(H11,H20,H29)</f>
        <v>0</v>
      </c>
      <c r="I38" s="10" t="n">
        <f aca="false">SUM(B38:H38)</f>
        <v>5</v>
      </c>
    </row>
    <row r="39" customFormat="false" ht="15" hidden="false" customHeight="false" outlineLevel="0" collapsed="false">
      <c r="A39" s="8" t="s">
        <v>11</v>
      </c>
      <c r="B39" s="11" t="n">
        <f aca="false">SUM(B12,B21,B30)</f>
        <v>1</v>
      </c>
      <c r="C39" s="11" t="n">
        <f aca="false">SUM(C12,C21,C30)</f>
        <v>0</v>
      </c>
      <c r="D39" s="11" t="n">
        <f aca="false">SUM(D12,D21,D30)</f>
        <v>1</v>
      </c>
      <c r="E39" s="11" t="n">
        <f aca="false">SUM(E12,E21,E30)</f>
        <v>1</v>
      </c>
      <c r="F39" s="11" t="n">
        <f aca="false">SUM(F12,F21,F30)</f>
        <v>0</v>
      </c>
      <c r="G39" s="11" t="n">
        <f aca="false">SUM(G12,G21,G30)</f>
        <v>0</v>
      </c>
      <c r="H39" s="11" t="n">
        <f aca="false">SUM(H12,H21,H30)</f>
        <v>0</v>
      </c>
      <c r="I39" s="10" t="n">
        <f aca="false">SUM(B39:H39)</f>
        <v>3</v>
      </c>
    </row>
    <row r="40" customFormat="false" ht="15" hidden="false" customHeight="false" outlineLevel="0" collapsed="false">
      <c r="A40" s="8" t="s">
        <v>12</v>
      </c>
      <c r="B40" s="11" t="n">
        <f aca="false">SUM(B13,B22,B31)</f>
        <v>2</v>
      </c>
      <c r="C40" s="11" t="n">
        <f aca="false">SUM(C13,C22,C31)</f>
        <v>1</v>
      </c>
      <c r="D40" s="11" t="n">
        <f aca="false">SUM(D13,D22,D31)</f>
        <v>2</v>
      </c>
      <c r="E40" s="11" t="n">
        <f aca="false">SUM(E13,E22,E31)</f>
        <v>1</v>
      </c>
      <c r="F40" s="11" t="n">
        <f aca="false">SUM(F13,F22,F31)</f>
        <v>2</v>
      </c>
      <c r="G40" s="11" t="n">
        <f aca="false">SUM(G13,G22,G31)</f>
        <v>0</v>
      </c>
      <c r="H40" s="11" t="n">
        <f aca="false">SUM(H13,H22,H31)</f>
        <v>0</v>
      </c>
      <c r="I40" s="10" t="n">
        <f aca="false">SUM(B40:H40)</f>
        <v>8</v>
      </c>
    </row>
  </sheetData>
  <dataValidations count="1">
    <dataValidation allowBlank="false" error="0以上の整数を入力してください" errorStyle="stop" errorTitle="入力エラー" operator="greaterThanOrEqual" showDropDown="false" showErrorMessage="true" showInputMessage="false" sqref="B7:H13 B16:H22 B23 B25:H31 B39:B40 D39:D40 B46:B47 D46:D47 B52:B53 B59:B60 D59:D60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3"/>
    <col collapsed="false" customWidth="true" hidden="false" outlineLevel="0" max="4" min="4" style="0" width="13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3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12" t="s">
        <v>17</v>
      </c>
    </row>
    <row r="4" customFormat="false" ht="16.4" hidden="false" customHeight="false" outlineLevel="0" collapsed="false">
      <c r="A4" s="13" t="str">
        <f aca="false">"【"&amp;設定!$B$4&amp;"12時半時報】"</f>
        <v>【1部12時半時報】</v>
      </c>
      <c r="B4" s="14"/>
      <c r="C4" s="14"/>
      <c r="D4" s="14"/>
      <c r="E4" s="14"/>
      <c r="F4" s="14"/>
      <c r="H4" s="2" t="s">
        <v>18</v>
      </c>
    </row>
    <row r="5" customFormat="false" ht="15" hidden="false" customHeight="false" outlineLevel="0" collapsed="false">
      <c r="H5" s="15" t="str">
        <f aca="false">"【"&amp;設定!$B$4&amp;"12時半時報】"&amp;TEXT(入力!$B$2,"m/d")&amp;CHAR(10)&amp;設定!$B$3&amp;CHAR(10)&amp;CHAR(10)&amp;"■有効提案取得（自アポ）"&amp;CHAR(10)&amp;B8&amp;" / "&amp;D8&amp;" = "&amp;IF(N(D8)=0,"-",TEXT(B8/D8,"0.0%"))&amp;CHAR(10)&amp;CHAR(10)&amp;"■有効提案取得（IS）"&amp;CHAR(10)&amp;B15&amp;" / "&amp;D15&amp;" = "&amp;IF(N(D15)=0,"-",TEXT(B15/D15,"0.0%"))&amp;CHAR(10)&amp;CHAR(10)&amp;"■当日提案取得数"&amp;CHAR(10)&amp;B21&amp;"件"&amp;CHAR(10)&amp;CHAR(10)&amp;"■有効ヨミ取得数"&amp;CHAR(10)&amp;B28&amp;" / "&amp;D28&amp;" = "&amp;IF(N(D28)=0,"-",TEXT(B28/D28,"0.0%"))</f>
        <v>【1部12時半時報】9/28
SL東京1部1課
■有効提案取得（自アポ）
3 / 14 = 21.4%
■有効提案取得（IS）
3 / 11 = 27.3%
■当日提案取得数
5件
■有効ヨミ取得数
3 / 8 = 37.5%</v>
      </c>
    </row>
    <row r="6" customFormat="false" ht="15" hidden="false" customHeight="false" outlineLevel="0" collapsed="false">
      <c r="A6" s="2" t="s">
        <v>19</v>
      </c>
      <c r="H6" s="15"/>
    </row>
    <row r="7" customFormat="false" ht="15" hidden="false" customHeight="false" outlineLevel="0" collapsed="false">
      <c r="B7" s="16" t="s">
        <v>20</v>
      </c>
      <c r="D7" s="16" t="s">
        <v>21</v>
      </c>
      <c r="F7" s="16" t="s">
        <v>22</v>
      </c>
      <c r="H7" s="15"/>
    </row>
    <row r="8" customFormat="false" ht="15" hidden="false" customHeight="false" outlineLevel="0" collapsed="false">
      <c r="A8" s="17" t="s">
        <v>23</v>
      </c>
      <c r="B8" s="11" t="n">
        <f aca="false">入力!$I$7</f>
        <v>3</v>
      </c>
      <c r="C8" s="18" t="s">
        <v>24</v>
      </c>
      <c r="D8" s="11" t="n">
        <f aca="false">入力!$I$8</f>
        <v>14</v>
      </c>
      <c r="E8" s="18" t="s">
        <v>25</v>
      </c>
      <c r="F8" s="19" t="n">
        <f aca="false">IF(N(D8)=0,"-",B8/D8)</f>
        <v>0.214285714285714</v>
      </c>
      <c r="H8" s="15"/>
    </row>
    <row r="9" customFormat="false" ht="15" hidden="false" customHeight="false" outlineLevel="0" collapsed="false">
      <c r="A9" s="17" t="s">
        <v>26</v>
      </c>
      <c r="B9" s="20"/>
      <c r="C9" s="18" t="s">
        <v>24</v>
      </c>
      <c r="D9" s="20"/>
      <c r="E9" s="18" t="s">
        <v>25</v>
      </c>
      <c r="F9" s="19" t="str">
        <f aca="false">IF(N(D9)=0,"-",B9/D9)</f>
        <v>-</v>
      </c>
      <c r="H9" s="15"/>
    </row>
    <row r="10" customFormat="false" ht="15" hidden="false" customHeight="false" outlineLevel="0" collapsed="false">
      <c r="A10" s="21" t="s">
        <v>27</v>
      </c>
      <c r="B10" s="20"/>
      <c r="C10" s="18" t="s">
        <v>24</v>
      </c>
      <c r="D10" s="20"/>
      <c r="E10" s="18" t="s">
        <v>25</v>
      </c>
      <c r="F10" s="19" t="str">
        <f aca="false">IF(N(D10)=0,"-",B10/D10)</f>
        <v>-</v>
      </c>
      <c r="H10" s="15"/>
    </row>
    <row r="11" customFormat="false" ht="15" hidden="false" customHeight="false" outlineLevel="0" collapsed="false">
      <c r="A11" s="21" t="s">
        <v>28</v>
      </c>
      <c r="B11" s="10" t="n">
        <f aca="false">SUM(B8:B10)</f>
        <v>3</v>
      </c>
      <c r="C11" s="18" t="s">
        <v>24</v>
      </c>
      <c r="D11" s="10" t="n">
        <f aca="false">SUM(D8:D10)</f>
        <v>14</v>
      </c>
      <c r="E11" s="18" t="s">
        <v>25</v>
      </c>
      <c r="F11" s="22" t="n">
        <f aca="false">IF(N(D11)=0,"-",B11/D11)</f>
        <v>0.214285714285714</v>
      </c>
      <c r="H11" s="15"/>
    </row>
    <row r="12" customFormat="false" ht="15" hidden="false" customHeight="false" outlineLevel="0" collapsed="false">
      <c r="H12" s="15"/>
    </row>
    <row r="13" customFormat="false" ht="15" hidden="false" customHeight="false" outlineLevel="0" collapsed="false">
      <c r="A13" s="2" t="s">
        <v>29</v>
      </c>
      <c r="H13" s="15"/>
    </row>
    <row r="14" customFormat="false" ht="15" hidden="false" customHeight="false" outlineLevel="0" collapsed="false">
      <c r="B14" s="16" t="s">
        <v>20</v>
      </c>
      <c r="D14" s="16" t="s">
        <v>21</v>
      </c>
      <c r="F14" s="16" t="s">
        <v>22</v>
      </c>
      <c r="H14" s="15"/>
    </row>
    <row r="15" customFormat="false" ht="15" hidden="false" customHeight="false" outlineLevel="0" collapsed="false">
      <c r="A15" s="17" t="s">
        <v>23</v>
      </c>
      <c r="B15" s="11" t="n">
        <f aca="false">入力!$I$9</f>
        <v>3</v>
      </c>
      <c r="C15" s="18" t="s">
        <v>24</v>
      </c>
      <c r="D15" s="11" t="n">
        <f aca="false">入力!$I$10</f>
        <v>11</v>
      </c>
      <c r="E15" s="18" t="s">
        <v>25</v>
      </c>
      <c r="F15" s="19" t="n">
        <f aca="false">IF(N(D15)=0,"-",B15/D15)</f>
        <v>0.272727272727273</v>
      </c>
      <c r="H15" s="15"/>
    </row>
    <row r="16" customFormat="false" ht="15" hidden="false" customHeight="false" outlineLevel="0" collapsed="false">
      <c r="A16" s="17" t="s">
        <v>26</v>
      </c>
      <c r="B16" s="20"/>
      <c r="C16" s="18" t="s">
        <v>24</v>
      </c>
      <c r="D16" s="20"/>
      <c r="E16" s="18" t="s">
        <v>25</v>
      </c>
      <c r="F16" s="19" t="str">
        <f aca="false">IF(N(D16)=0,"-",B16/D16)</f>
        <v>-</v>
      </c>
      <c r="H16" s="15"/>
    </row>
    <row r="17" customFormat="false" ht="15" hidden="false" customHeight="false" outlineLevel="0" collapsed="false">
      <c r="A17" s="21" t="s">
        <v>27</v>
      </c>
      <c r="B17" s="20"/>
      <c r="C17" s="18" t="s">
        <v>24</v>
      </c>
      <c r="D17" s="20"/>
      <c r="E17" s="18" t="s">
        <v>25</v>
      </c>
      <c r="F17" s="19" t="str">
        <f aca="false">IF(N(D17)=0,"-",B17/D17)</f>
        <v>-</v>
      </c>
    </row>
    <row r="18" customFormat="false" ht="15" hidden="false" customHeight="false" outlineLevel="0" collapsed="false">
      <c r="A18" s="21" t="s">
        <v>28</v>
      </c>
      <c r="B18" s="10" t="n">
        <f aca="false">SUM(B15:B17)</f>
        <v>3</v>
      </c>
      <c r="C18" s="18" t="s">
        <v>24</v>
      </c>
      <c r="D18" s="10" t="n">
        <f aca="false">SUM(D15:D17)</f>
        <v>11</v>
      </c>
      <c r="E18" s="18" t="s">
        <v>25</v>
      </c>
      <c r="F18" s="22" t="n">
        <f aca="false">IF(N(D18)=0,"-",B18/D18)</f>
        <v>0.272727272727273</v>
      </c>
      <c r="H18" s="23" t="s">
        <v>30</v>
      </c>
    </row>
    <row r="19" customFormat="false" ht="15" hidden="false" customHeight="false" outlineLevel="0" collapsed="false">
      <c r="H19" s="15" t="str">
        <f aca="false">"【"&amp;設定!$B$4&amp;"12時半時報】"&amp;TEXT(入力!$B$2,"m/d")&amp;CHAR(10)&amp;CHAR(10)&amp;"■有効提案取得（自アポ）"&amp;CHAR(10)&amp;"1課："&amp;N(B8)&amp;" / "&amp;N(D8)&amp;" = "&amp;IF(N(D8)=0,"-",TEXT(B8/D8,"0.0%"))&amp;CHAR(10)&amp;"2課："&amp;N(B9)&amp;" / "&amp;N(D9)&amp;" = "&amp;IF(N(D9)=0,"-",TEXT(B9/D9,"0.0%"))&amp;CHAR(10)&amp;"安部："&amp;N(B10)&amp;" / "&amp;N(D10)&amp;" = "&amp;IF(N(D10)=0,"-",TEXT(B10/D10,"0.0%"))&amp;CHAR(10)&amp;"合算："&amp;N(B11)&amp;" / "&amp;N(D11)&amp;" = "&amp;IF(N(D11)=0,"-",TEXT(B11/D11,"0.0%"))&amp;CHAR(10)&amp;CHAR(10)&amp;"■有効提案取得（IS）"&amp;CHAR(10)&amp;"1課："&amp;N(B15)&amp;" / "&amp;N(D15)&amp;" = "&amp;IF(N(D15)=0,"-",TEXT(B15/D15,"0.0%"))&amp;CHAR(10)&amp;"2課："&amp;N(B16)&amp;" / "&amp;N(D16)&amp;" = "&amp;IF(N(D16)=0,"-",TEXT(B16/D16,"0.0%"))&amp;CHAR(10)&amp;"安部："&amp;N(B17)&amp;" / "&amp;N(D17)&amp;" = "&amp;IF(N(D17)=0,"-",TEXT(B17/D17,"0.0%"))&amp;CHAR(10)&amp;"合算："&amp;N(B18)&amp;" / "&amp;N(D18)&amp;" = "&amp;IF(N(D18)=0,"-",TEXT(B18/D18,"0.0%"))&amp;CHAR(10)&amp;CHAR(10)&amp;"■当日提案取得数"&amp;CHAR(10)&amp;"1課："&amp;N(B21)&amp;"件"&amp;CHAR(10)&amp;"2課："&amp;N(B22)&amp;"件"&amp;CHAR(10)&amp;"安部："&amp;N(B23)&amp;"件"&amp;CHAR(10)&amp;"合算："&amp;N(B24)&amp;"件"&amp;CHAR(10)&amp;CHAR(10)&amp;"■有効ヨミ取得数"&amp;CHAR(10)&amp;"1課："&amp;N(B28)&amp;" / "&amp;N(D28)&amp;" = "&amp;IF(N(D28)=0,"-",TEXT(B28/D28,"0.0%"))&amp;CHAR(10)&amp;"2課："&amp;N(B29)&amp;" / "&amp;N(D29)&amp;" = "&amp;IF(N(D29)=0,"-",TEXT(B29/D29,"0.0%"))&amp;CHAR(10)&amp;"安部："&amp;N(B30)&amp;" / "&amp;N(D30)&amp;" = "&amp;IF(N(D30)=0,"-",TEXT(B30/D30,"0.0%"))&amp;CHAR(10)&amp;"合算："&amp;N(B31)&amp;" / "&amp;N(D31)&amp;" = "&amp;IF(N(D31)=0,"-",TEXT(B31/D31,"0.0%"))</f>
        <v>【1部12時半時報】9/28
■有効提案取得（自アポ）
1課：3 / 14 = 21.4%
2課：0 / 0 = -
安部：0 / 0 = -
合算：3 / 14 = 21.4%
■有効提案取得（IS）
1課：3 / 11 = 27.3%
2課：0 / 0 = -
安部：0 / 0 = -
合算：3 / 11 = 27.3%
■当日提案取得数
1課：5件
2課：0件
安部：0件
合算：5件
■有効ヨミ取得数
1課：3 / 8 = 37.5%
2課：0 / 0 = -
安部：0 / 0 = -
合算：3 / 8 = 37.5%</v>
      </c>
    </row>
    <row r="20" customFormat="false" ht="15" hidden="false" customHeight="false" outlineLevel="0" collapsed="false">
      <c r="A20" s="2" t="s">
        <v>31</v>
      </c>
      <c r="H20" s="15"/>
    </row>
    <row r="21" customFormat="false" ht="15" hidden="false" customHeight="false" outlineLevel="0" collapsed="false">
      <c r="A21" s="17" t="s">
        <v>23</v>
      </c>
      <c r="B21" s="11" t="n">
        <f aca="false">入力!$I$11</f>
        <v>5</v>
      </c>
      <c r="C21" s="24" t="s">
        <v>32</v>
      </c>
      <c r="H21" s="15"/>
    </row>
    <row r="22" customFormat="false" ht="15" hidden="false" customHeight="false" outlineLevel="0" collapsed="false">
      <c r="A22" s="17" t="s">
        <v>26</v>
      </c>
      <c r="B22" s="20"/>
      <c r="C22" s="24" t="s">
        <v>32</v>
      </c>
      <c r="H22" s="15"/>
    </row>
    <row r="23" customFormat="false" ht="15" hidden="false" customHeight="false" outlineLevel="0" collapsed="false">
      <c r="A23" s="21" t="s">
        <v>27</v>
      </c>
      <c r="B23" s="20"/>
      <c r="C23" s="24" t="s">
        <v>32</v>
      </c>
      <c r="H23" s="15"/>
    </row>
    <row r="24" customFormat="false" ht="15" hidden="false" customHeight="false" outlineLevel="0" collapsed="false">
      <c r="A24" s="21" t="s">
        <v>28</v>
      </c>
      <c r="B24" s="10" t="n">
        <f aca="false">SUM(B21:B23)</f>
        <v>5</v>
      </c>
      <c r="C24" s="24" t="s">
        <v>32</v>
      </c>
      <c r="H24" s="15"/>
    </row>
    <row r="25" customFormat="false" ht="15" hidden="false" customHeight="false" outlineLevel="0" collapsed="false">
      <c r="H25" s="15"/>
    </row>
    <row r="26" customFormat="false" ht="15" hidden="false" customHeight="false" outlineLevel="0" collapsed="false">
      <c r="A26" s="2" t="s">
        <v>33</v>
      </c>
      <c r="H26" s="15"/>
    </row>
    <row r="27" customFormat="false" ht="15" hidden="false" customHeight="false" outlineLevel="0" collapsed="false">
      <c r="B27" s="16" t="s">
        <v>11</v>
      </c>
      <c r="D27" s="16" t="s">
        <v>12</v>
      </c>
      <c r="F27" s="16" t="s">
        <v>22</v>
      </c>
      <c r="H27" s="15"/>
    </row>
    <row r="28" customFormat="false" ht="15" hidden="false" customHeight="false" outlineLevel="0" collapsed="false">
      <c r="A28" s="17" t="s">
        <v>23</v>
      </c>
      <c r="B28" s="11" t="n">
        <f aca="false">入力!$I$12</f>
        <v>3</v>
      </c>
      <c r="C28" s="18" t="s">
        <v>24</v>
      </c>
      <c r="D28" s="11" t="n">
        <f aca="false">入力!$I$13</f>
        <v>8</v>
      </c>
      <c r="E28" s="18" t="s">
        <v>25</v>
      </c>
      <c r="F28" s="19" t="n">
        <f aca="false">IF(N(D28)=0,"-",B28/D28)</f>
        <v>0.375</v>
      </c>
      <c r="H28" s="15"/>
    </row>
    <row r="29" customFormat="false" ht="15" hidden="false" customHeight="false" outlineLevel="0" collapsed="false">
      <c r="A29" s="17" t="s">
        <v>26</v>
      </c>
      <c r="B29" s="20"/>
      <c r="C29" s="18" t="s">
        <v>24</v>
      </c>
      <c r="D29" s="20"/>
      <c r="E29" s="18" t="s">
        <v>25</v>
      </c>
      <c r="F29" s="19" t="str">
        <f aca="false">IF(N(D29)=0,"-",B29/D29)</f>
        <v>-</v>
      </c>
      <c r="H29" s="15"/>
    </row>
    <row r="30" customFormat="false" ht="15" hidden="false" customHeight="false" outlineLevel="0" collapsed="false">
      <c r="A30" s="21" t="s">
        <v>27</v>
      </c>
      <c r="B30" s="20"/>
      <c r="C30" s="18" t="s">
        <v>24</v>
      </c>
      <c r="D30" s="20"/>
      <c r="E30" s="18" t="s">
        <v>25</v>
      </c>
      <c r="F30" s="19" t="str">
        <f aca="false">IF(N(D30)=0,"-",B30/D30)</f>
        <v>-</v>
      </c>
      <c r="H30" s="15"/>
    </row>
    <row r="31" customFormat="false" ht="15" hidden="false" customHeight="false" outlineLevel="0" collapsed="false">
      <c r="A31" s="21" t="s">
        <v>28</v>
      </c>
      <c r="B31" s="10" t="n">
        <f aca="false">SUM(B28:B30)</f>
        <v>3</v>
      </c>
      <c r="C31" s="18" t="s">
        <v>24</v>
      </c>
      <c r="D31" s="10" t="n">
        <f aca="false">SUM(D28:D30)</f>
        <v>8</v>
      </c>
      <c r="E31" s="18" t="s">
        <v>25</v>
      </c>
      <c r="F31" s="22" t="n">
        <f aca="false">IF(N(D31)=0,"-",B31/D31)</f>
        <v>0.375</v>
      </c>
      <c r="H31" s="15"/>
    </row>
    <row r="34" customFormat="false" ht="16.4" hidden="false" customHeight="false" outlineLevel="0" collapsed="false">
      <c r="A34" s="13" t="str">
        <f aca="false">"【"&amp;設定!$B$4&amp;"15時半時報】"</f>
        <v>【1部15時半時報】</v>
      </c>
      <c r="B34" s="14"/>
      <c r="C34" s="14"/>
      <c r="D34" s="14"/>
      <c r="E34" s="14"/>
      <c r="F34" s="14"/>
      <c r="H34" s="2" t="s">
        <v>34</v>
      </c>
    </row>
    <row r="35" customFormat="false" ht="15" hidden="false" customHeight="false" outlineLevel="0" collapsed="false">
      <c r="H35" s="15" t="str">
        <f aca="false">"【"&amp;設定!$B$4&amp;"15時半時報】"&amp;TEXT(入力!$B$2,"m/d")&amp;CHAR(10)&amp;設定!$B$3&amp;CHAR(10)&amp;CHAR(10)&amp;"■有効提案取得（自アポ）"&amp;CHAR(10)&amp;B38&amp;" / "&amp;D38&amp;" = "&amp;IF(N(D38)=0,"-",TEXT(B38/D38,"0.0%"))&amp;CHAR(10)&amp;CHAR(10)&amp;"■有効提案取得（IS）"&amp;CHAR(10)&amp;B45&amp;" / "&amp;D45&amp;" = "&amp;IF(N(D45)=0,"-",TEXT(B45/D45,"0.0%"))&amp;CHAR(10)&amp;CHAR(10)&amp;"■当日提案取得数"&amp;CHAR(10)&amp;B51&amp;"件"&amp;CHAR(10)&amp;CHAR(10)&amp;"■有効ヨミ取得数"&amp;CHAR(10)&amp;B58&amp;" / "&amp;D58&amp;" = "&amp;IF(N(D58)=0,"-",TEXT(B58/D58,"0.0%"))</f>
        <v>【1部15時半時報】9/28
SL東京1部1課
■有効提案取得（自アポ）
3 / 14 = 21.4%
■有効提案取得（IS）
3 / 11 = 27.3%
■当日提案取得数
5件
■有効ヨミ取得数
3 / 8 = 37.5%</v>
      </c>
    </row>
    <row r="36" customFormat="false" ht="15" hidden="false" customHeight="false" outlineLevel="0" collapsed="false">
      <c r="A36" s="2" t="s">
        <v>19</v>
      </c>
      <c r="H36" s="15"/>
    </row>
    <row r="37" customFormat="false" ht="15" hidden="false" customHeight="false" outlineLevel="0" collapsed="false">
      <c r="B37" s="16" t="s">
        <v>20</v>
      </c>
      <c r="D37" s="16" t="s">
        <v>21</v>
      </c>
      <c r="F37" s="16" t="s">
        <v>22</v>
      </c>
      <c r="H37" s="15"/>
    </row>
    <row r="38" customFormat="false" ht="15" hidden="false" customHeight="false" outlineLevel="0" collapsed="false">
      <c r="A38" s="17" t="s">
        <v>23</v>
      </c>
      <c r="B38" s="11" t="n">
        <f aca="false">入力!$I$7+入力!$I$16</f>
        <v>3</v>
      </c>
      <c r="C38" s="18" t="s">
        <v>24</v>
      </c>
      <c r="D38" s="11" t="n">
        <f aca="false">入力!$I$8+入力!$I$17</f>
        <v>14</v>
      </c>
      <c r="E38" s="18" t="s">
        <v>25</v>
      </c>
      <c r="F38" s="19" t="n">
        <f aca="false">IF(N(D38)=0,"-",B38/D38)</f>
        <v>0.214285714285714</v>
      </c>
      <c r="H38" s="15"/>
    </row>
    <row r="39" customFormat="false" ht="15" hidden="false" customHeight="false" outlineLevel="0" collapsed="false">
      <c r="A39" s="17" t="s">
        <v>26</v>
      </c>
      <c r="B39" s="20"/>
      <c r="C39" s="18" t="s">
        <v>24</v>
      </c>
      <c r="D39" s="20"/>
      <c r="E39" s="18" t="s">
        <v>25</v>
      </c>
      <c r="F39" s="19" t="str">
        <f aca="false">IF(N(D39)=0,"-",B39/D39)</f>
        <v>-</v>
      </c>
      <c r="H39" s="15"/>
    </row>
    <row r="40" customFormat="false" ht="15" hidden="false" customHeight="false" outlineLevel="0" collapsed="false">
      <c r="A40" s="21" t="s">
        <v>27</v>
      </c>
      <c r="B40" s="20"/>
      <c r="C40" s="18" t="s">
        <v>24</v>
      </c>
      <c r="D40" s="20"/>
      <c r="E40" s="18" t="s">
        <v>25</v>
      </c>
      <c r="F40" s="19" t="str">
        <f aca="false">IF(N(D40)=0,"-",B40/D40)</f>
        <v>-</v>
      </c>
      <c r="H40" s="15"/>
    </row>
    <row r="41" customFormat="false" ht="15" hidden="false" customHeight="false" outlineLevel="0" collapsed="false">
      <c r="A41" s="21" t="s">
        <v>28</v>
      </c>
      <c r="B41" s="10" t="n">
        <f aca="false">SUM(B38:B40)</f>
        <v>3</v>
      </c>
      <c r="C41" s="18" t="s">
        <v>24</v>
      </c>
      <c r="D41" s="10" t="n">
        <f aca="false">SUM(D38:D40)</f>
        <v>14</v>
      </c>
      <c r="E41" s="18" t="s">
        <v>25</v>
      </c>
      <c r="F41" s="22" t="n">
        <f aca="false">IF(N(D41)=0,"-",B41/D41)</f>
        <v>0.214285714285714</v>
      </c>
      <c r="H41" s="15"/>
    </row>
    <row r="42" customFormat="false" ht="15" hidden="false" customHeight="false" outlineLevel="0" collapsed="false">
      <c r="H42" s="15"/>
    </row>
    <row r="43" customFormat="false" ht="15" hidden="false" customHeight="false" outlineLevel="0" collapsed="false">
      <c r="A43" s="2" t="s">
        <v>29</v>
      </c>
      <c r="H43" s="15"/>
    </row>
    <row r="44" customFormat="false" ht="15" hidden="false" customHeight="false" outlineLevel="0" collapsed="false">
      <c r="B44" s="16" t="s">
        <v>20</v>
      </c>
      <c r="D44" s="16" t="s">
        <v>21</v>
      </c>
      <c r="F44" s="16" t="s">
        <v>22</v>
      </c>
      <c r="H44" s="15"/>
    </row>
    <row r="45" customFormat="false" ht="15" hidden="false" customHeight="false" outlineLevel="0" collapsed="false">
      <c r="A45" s="17" t="s">
        <v>23</v>
      </c>
      <c r="B45" s="11" t="n">
        <f aca="false">入力!$I$9+入力!$I$18</f>
        <v>3</v>
      </c>
      <c r="C45" s="18" t="s">
        <v>24</v>
      </c>
      <c r="D45" s="11" t="n">
        <f aca="false">入力!$I$10+入力!$I$19</f>
        <v>11</v>
      </c>
      <c r="E45" s="18" t="s">
        <v>25</v>
      </c>
      <c r="F45" s="19" t="n">
        <f aca="false">IF(N(D45)=0,"-",B45/D45)</f>
        <v>0.272727272727273</v>
      </c>
      <c r="H45" s="15"/>
    </row>
    <row r="46" customFormat="false" ht="15" hidden="false" customHeight="false" outlineLevel="0" collapsed="false">
      <c r="A46" s="17" t="s">
        <v>26</v>
      </c>
      <c r="B46" s="20"/>
      <c r="C46" s="18" t="s">
        <v>24</v>
      </c>
      <c r="D46" s="20"/>
      <c r="E46" s="18" t="s">
        <v>25</v>
      </c>
      <c r="F46" s="19" t="str">
        <f aca="false">IF(N(D46)=0,"-",B46/D46)</f>
        <v>-</v>
      </c>
      <c r="H46" s="15"/>
    </row>
    <row r="47" customFormat="false" ht="15" hidden="false" customHeight="false" outlineLevel="0" collapsed="false">
      <c r="A47" s="21" t="s">
        <v>27</v>
      </c>
      <c r="B47" s="20"/>
      <c r="C47" s="18" t="s">
        <v>24</v>
      </c>
      <c r="D47" s="20"/>
      <c r="E47" s="18" t="s">
        <v>25</v>
      </c>
      <c r="F47" s="19" t="str">
        <f aca="false">IF(N(D47)=0,"-",B47/D47)</f>
        <v>-</v>
      </c>
    </row>
    <row r="48" customFormat="false" ht="15" hidden="false" customHeight="false" outlineLevel="0" collapsed="false">
      <c r="A48" s="21" t="s">
        <v>28</v>
      </c>
      <c r="B48" s="10" t="n">
        <f aca="false">SUM(B45:B47)</f>
        <v>3</v>
      </c>
      <c r="C48" s="18" t="s">
        <v>24</v>
      </c>
      <c r="D48" s="10" t="n">
        <f aca="false">SUM(D45:D47)</f>
        <v>11</v>
      </c>
      <c r="E48" s="18" t="s">
        <v>25</v>
      </c>
      <c r="F48" s="22" t="n">
        <f aca="false">IF(N(D48)=0,"-",B48/D48)</f>
        <v>0.272727272727273</v>
      </c>
      <c r="H48" s="23" t="s">
        <v>35</v>
      </c>
    </row>
    <row r="49" customFormat="false" ht="15" hidden="false" customHeight="false" outlineLevel="0" collapsed="false">
      <c r="H49" s="15" t="str">
        <f aca="false">"【"&amp;設定!$B$4&amp;"15時半時報】"&amp;TEXT(入力!$B$2,"m/d")&amp;CHAR(10)&amp;CHAR(10)&amp;"■有効提案取得（自アポ）"&amp;CHAR(10)&amp;"1課："&amp;N(B38)&amp;" / "&amp;N(D38)&amp;" = "&amp;IF(N(D38)=0,"-",TEXT(B38/D38,"0.0%"))&amp;CHAR(10)&amp;"2課："&amp;N(B39)&amp;" / "&amp;N(D39)&amp;" = "&amp;IF(N(D39)=0,"-",TEXT(B39/D39,"0.0%"))&amp;CHAR(10)&amp;"安部："&amp;N(B40)&amp;" / "&amp;N(D40)&amp;" = "&amp;IF(N(D40)=0,"-",TEXT(B40/D40,"0.0%"))&amp;CHAR(10)&amp;"合算："&amp;N(B41)&amp;" / "&amp;N(D41)&amp;" = "&amp;IF(N(D41)=0,"-",TEXT(B41/D41,"0.0%"))&amp;CHAR(10)&amp;CHAR(10)&amp;"■有効提案取得（IS）"&amp;CHAR(10)&amp;"1課："&amp;N(B45)&amp;" / "&amp;N(D45)&amp;" = "&amp;IF(N(D45)=0,"-",TEXT(B45/D45,"0.0%"))&amp;CHAR(10)&amp;"2課："&amp;N(B46)&amp;" / "&amp;N(D46)&amp;" = "&amp;IF(N(D46)=0,"-",TEXT(B46/D46,"0.0%"))&amp;CHAR(10)&amp;"安部："&amp;N(B47)&amp;" / "&amp;N(D47)&amp;" = "&amp;IF(N(D47)=0,"-",TEXT(B47/D47,"0.0%"))&amp;CHAR(10)&amp;"合算："&amp;N(B48)&amp;" / "&amp;N(D48)&amp;" = "&amp;IF(N(D48)=0,"-",TEXT(B48/D48,"0.0%"))&amp;CHAR(10)&amp;CHAR(10)&amp;"■当日提案取得数"&amp;CHAR(10)&amp;"1課："&amp;N(B51)&amp;"件"&amp;CHAR(10)&amp;"2課："&amp;N(B52)&amp;"件"&amp;CHAR(10)&amp;"安部："&amp;N(B53)&amp;"件"&amp;CHAR(10)&amp;"合算："&amp;N(B54)&amp;"件"&amp;CHAR(10)&amp;CHAR(10)&amp;"■有効ヨミ取得数"&amp;CHAR(10)&amp;"1課："&amp;N(B58)&amp;" / "&amp;N(D58)&amp;" = "&amp;IF(N(D58)=0,"-",TEXT(B58/D58,"0.0%"))&amp;CHAR(10)&amp;"2課："&amp;N(B59)&amp;" / "&amp;N(D59)&amp;" = "&amp;IF(N(D59)=0,"-",TEXT(B59/D59,"0.0%"))&amp;CHAR(10)&amp;"安部："&amp;N(B60)&amp;" / "&amp;N(D60)&amp;" = "&amp;IF(N(D60)=0,"-",TEXT(B60/D60,"0.0%"))&amp;CHAR(10)&amp;"合算："&amp;N(B61)&amp;" / "&amp;N(D61)&amp;" = "&amp;IF(N(D61)=0,"-",TEXT(B61/D61,"0.0%"))</f>
        <v>【1部15時半時報】9/28
■有効提案取得（自アポ）
1課：3 / 14 = 21.4%
2課：0 / 0 = -
安部：0 / 0 = -
合算：3 / 14 = 21.4%
■有効提案取得（IS）
1課：3 / 11 = 27.3%
2課：0 / 0 = -
安部：0 / 0 = -
合算：3 / 11 = 27.3%
■当日提案取得数
1課：5件
2課：0件
安部：0件
合算：5件
■有効ヨミ取得数
1課：3 / 8 = 37.5%
2課：0 / 0 = -
安部：0 / 0 = -
合算：3 / 8 = 37.5%</v>
      </c>
    </row>
    <row r="50" customFormat="false" ht="15" hidden="false" customHeight="false" outlineLevel="0" collapsed="false">
      <c r="A50" s="2" t="s">
        <v>31</v>
      </c>
      <c r="H50" s="15"/>
    </row>
    <row r="51" customFormat="false" ht="15" hidden="false" customHeight="false" outlineLevel="0" collapsed="false">
      <c r="A51" s="17" t="s">
        <v>23</v>
      </c>
      <c r="B51" s="11" t="n">
        <f aca="false">入力!$I$11+入力!$I$20</f>
        <v>5</v>
      </c>
      <c r="C51" s="24" t="s">
        <v>32</v>
      </c>
      <c r="H51" s="15"/>
    </row>
    <row r="52" customFormat="false" ht="15" hidden="false" customHeight="false" outlineLevel="0" collapsed="false">
      <c r="A52" s="17" t="s">
        <v>26</v>
      </c>
      <c r="B52" s="20"/>
      <c r="C52" s="24" t="s">
        <v>32</v>
      </c>
      <c r="H52" s="15"/>
    </row>
    <row r="53" customFormat="false" ht="15" hidden="false" customHeight="false" outlineLevel="0" collapsed="false">
      <c r="A53" s="21" t="s">
        <v>27</v>
      </c>
      <c r="B53" s="20"/>
      <c r="C53" s="24" t="s">
        <v>32</v>
      </c>
      <c r="H53" s="15"/>
    </row>
    <row r="54" customFormat="false" ht="15" hidden="false" customHeight="false" outlineLevel="0" collapsed="false">
      <c r="A54" s="21" t="s">
        <v>28</v>
      </c>
      <c r="B54" s="10" t="n">
        <f aca="false">SUM(B51:B53)</f>
        <v>5</v>
      </c>
      <c r="C54" s="24" t="s">
        <v>32</v>
      </c>
      <c r="H54" s="15"/>
    </row>
    <row r="55" customFormat="false" ht="15" hidden="false" customHeight="false" outlineLevel="0" collapsed="false">
      <c r="H55" s="15"/>
    </row>
    <row r="56" customFormat="false" ht="15" hidden="false" customHeight="false" outlineLevel="0" collapsed="false">
      <c r="A56" s="2" t="s">
        <v>33</v>
      </c>
      <c r="H56" s="15"/>
    </row>
    <row r="57" customFormat="false" ht="15" hidden="false" customHeight="false" outlineLevel="0" collapsed="false">
      <c r="B57" s="16" t="s">
        <v>11</v>
      </c>
      <c r="D57" s="16" t="s">
        <v>12</v>
      </c>
      <c r="F57" s="16" t="s">
        <v>22</v>
      </c>
      <c r="H57" s="15"/>
    </row>
    <row r="58" customFormat="false" ht="15" hidden="false" customHeight="false" outlineLevel="0" collapsed="false">
      <c r="A58" s="17" t="s">
        <v>23</v>
      </c>
      <c r="B58" s="11" t="n">
        <f aca="false">入力!$I$12+入力!$I$21</f>
        <v>3</v>
      </c>
      <c r="C58" s="18" t="s">
        <v>24</v>
      </c>
      <c r="D58" s="11" t="n">
        <f aca="false">入力!$I$13+入力!$I$22</f>
        <v>8</v>
      </c>
      <c r="E58" s="18" t="s">
        <v>25</v>
      </c>
      <c r="F58" s="19" t="n">
        <f aca="false">IF(N(D58)=0,"-",B58/D58)</f>
        <v>0.375</v>
      </c>
      <c r="H58" s="15"/>
    </row>
    <row r="59" customFormat="false" ht="15" hidden="false" customHeight="false" outlineLevel="0" collapsed="false">
      <c r="A59" s="17" t="s">
        <v>26</v>
      </c>
      <c r="B59" s="20"/>
      <c r="C59" s="18" t="s">
        <v>24</v>
      </c>
      <c r="D59" s="20"/>
      <c r="E59" s="18" t="s">
        <v>25</v>
      </c>
      <c r="F59" s="19" t="str">
        <f aca="false">IF(N(D59)=0,"-",B59/D59)</f>
        <v>-</v>
      </c>
      <c r="H59" s="15"/>
    </row>
    <row r="60" customFormat="false" ht="15" hidden="false" customHeight="false" outlineLevel="0" collapsed="false">
      <c r="A60" s="21" t="s">
        <v>27</v>
      </c>
      <c r="B60" s="20"/>
      <c r="C60" s="18" t="s">
        <v>24</v>
      </c>
      <c r="D60" s="20"/>
      <c r="E60" s="18" t="s">
        <v>25</v>
      </c>
      <c r="F60" s="19" t="str">
        <f aca="false">IF(N(D60)=0,"-",B60/D60)</f>
        <v>-</v>
      </c>
      <c r="H60" s="15"/>
    </row>
    <row r="61" customFormat="false" ht="15" hidden="false" customHeight="false" outlineLevel="0" collapsed="false">
      <c r="A61" s="21" t="s">
        <v>28</v>
      </c>
      <c r="B61" s="10" t="n">
        <f aca="false">SUM(B58:B60)</f>
        <v>3</v>
      </c>
      <c r="C61" s="18" t="s">
        <v>24</v>
      </c>
      <c r="D61" s="10" t="n">
        <f aca="false">SUM(D58:D60)</f>
        <v>8</v>
      </c>
      <c r="E61" s="18" t="s">
        <v>25</v>
      </c>
      <c r="F61" s="22" t="n">
        <f aca="false">IF(N(D61)=0,"-",B61/D61)</f>
        <v>0.375</v>
      </c>
      <c r="H61" s="15"/>
    </row>
  </sheetData>
  <mergeCells count="4">
    <mergeCell ref="H5:H16"/>
    <mergeCell ref="H19:H31"/>
    <mergeCell ref="H35:H46"/>
    <mergeCell ref="H49:H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36</v>
      </c>
    </row>
    <row r="3" customFormat="false" ht="15" hidden="false" customHeight="false" outlineLevel="0" collapsed="false">
      <c r="A3" s="8" t="s">
        <v>37</v>
      </c>
      <c r="B3" s="25" t="s">
        <v>38</v>
      </c>
    </row>
    <row r="4" customFormat="false" ht="15" hidden="false" customHeight="false" outlineLevel="0" collapsed="false">
      <c r="A4" s="8" t="s">
        <v>39</v>
      </c>
      <c r="B4" s="25" t="s">
        <v>40</v>
      </c>
    </row>
    <row r="6" customFormat="false" ht="15" hidden="false" customHeight="false" outlineLevel="0" collapsed="false">
      <c r="A6" s="26" t="s">
        <v>41</v>
      </c>
      <c r="B6" s="7" t="s">
        <v>42</v>
      </c>
    </row>
    <row r="7" customFormat="false" ht="15" hidden="false" customHeight="false" outlineLevel="0" collapsed="false">
      <c r="A7" s="27" t="n">
        <v>1</v>
      </c>
      <c r="B7" s="28" t="s">
        <v>43</v>
      </c>
    </row>
    <row r="8" customFormat="false" ht="15" hidden="false" customHeight="false" outlineLevel="0" collapsed="false">
      <c r="A8" s="27" t="n">
        <v>2</v>
      </c>
      <c r="B8" s="28" t="s">
        <v>44</v>
      </c>
    </row>
    <row r="9" customFormat="false" ht="15" hidden="false" customHeight="false" outlineLevel="0" collapsed="false">
      <c r="A9" s="27" t="n">
        <v>3</v>
      </c>
      <c r="B9" s="28" t="s">
        <v>45</v>
      </c>
    </row>
    <row r="10" customFormat="false" ht="15" hidden="false" customHeight="false" outlineLevel="0" collapsed="false">
      <c r="A10" s="27" t="n">
        <v>4</v>
      </c>
      <c r="B10" s="28" t="s">
        <v>46</v>
      </c>
    </row>
    <row r="11" customFormat="false" ht="15" hidden="false" customHeight="false" outlineLevel="0" collapsed="false">
      <c r="A11" s="27" t="n">
        <v>5</v>
      </c>
      <c r="B11" s="28" t="s">
        <v>47</v>
      </c>
    </row>
    <row r="12" customFormat="false" ht="15" hidden="false" customHeight="false" outlineLevel="0" collapsed="false">
      <c r="A12" s="27" t="n">
        <v>6</v>
      </c>
      <c r="B12" s="25"/>
    </row>
    <row r="13" customFormat="false" ht="15" hidden="false" customHeight="false" outlineLevel="0" collapsed="false">
      <c r="A13" s="27" t="n">
        <v>7</v>
      </c>
      <c r="B13" s="25"/>
    </row>
    <row r="15" customFormat="false" ht="15" hidden="false" customHeight="false" outlineLevel="0" collapsed="false">
      <c r="A15" s="29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2026-09-28T01:50:22Z</dcterms:created>
  <dc:creator>openpyxl</dc:creator>
  <dc:description/>
  <dc:language>en-US</dc:language>
  <cp:lastModifiedBy/>
  <dcterms:modified xsi:type="dcterms:W3CDTF">2026-09-28T01:50:22Z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