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入力" sheetId="1" state="visible" r:id="rId3"/>
    <sheet name="課長報告" sheetId="2" state="visible" r:id="rId4"/>
    <sheet name="設定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<sst xmlns="http://schemas.openxmlformats.org/spreadsheetml/2006/main" count="69" uniqueCount="43">
  <si>
    <t xml:space="preserve">時報入力シート</t>
  </si>
  <si>
    <t xml:space="preserve">日付</t>
  </si>
  <si>
    <t xml:space="preserve">【入力ルール】黄色セル＝手入力（その時間帯に発生した件数）／グレー＝自動計算。メンバー名は「設定」シートで変更します。</t>
  </si>
  <si>
    <r>
      <rPr>
        <sz val="9"/>
        <color rgb="FFC00000"/>
        <rFont val="Arial"/>
        <family val="0"/>
        <charset val="1"/>
      </rPr>
      <t xml:space="preserve">※ 12</t>
    </r>
    <r>
      <rPr>
        <sz val="9"/>
        <color rgb="FFC00000"/>
        <rFont val="WenQuanYi Zen Hei"/>
        <family val="2"/>
      </rPr>
      <t xml:space="preserve">時報告ブロックにはサンプル値が入っています。実運用時は上書き（または削除）してください。</t>
    </r>
  </si>
  <si>
    <r>
      <rPr>
        <b val="true"/>
        <sz val="10"/>
        <color rgb="FFFFFFFF"/>
        <rFont val="WenQuanYi Zen Hei"/>
        <family val="2"/>
      </rPr>
      <t xml:space="preserve">【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時報告】（〜</t>
    </r>
    <r>
      <rPr>
        <b val="true"/>
        <sz val="10"/>
        <color rgb="FFFFFFFF"/>
        <rFont val="Arial"/>
        <family val="0"/>
        <charset val="1"/>
      </rPr>
      <t xml:space="preserve">12:00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</si>
  <si>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合計</t>
  </si>
  <si>
    <t xml:space="preserve">新規商談訪問数（自アポ）</t>
  </si>
  <si>
    <r>
      <rPr>
        <b val="true"/>
        <sz val="10"/>
        <rFont val="WenQuanYi Zen Hei"/>
        <family val="2"/>
      </rPr>
      <t xml:space="preserve">新規商談訪問数（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）</t>
    </r>
  </si>
  <si>
    <t xml:space="preserve">有効提案取得数（自アポ）</t>
  </si>
  <si>
    <r>
      <rPr>
        <b val="true"/>
        <sz val="10"/>
        <rFont val="WenQuanYi Zen Hei"/>
        <family val="2"/>
      </rPr>
      <t xml:space="preserve">有効提案取得数（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）</t>
    </r>
  </si>
  <si>
    <t xml:space="preserve">当日提案取得数</t>
  </si>
  <si>
    <t xml:space="preserve">提案訪問数</t>
  </si>
  <si>
    <t xml:space="preserve">有効ヨミ取得数</t>
  </si>
  <si>
    <r>
      <rPr>
        <b val="true"/>
        <sz val="10"/>
        <color rgb="FFFFFFFF"/>
        <rFont val="WenQuanYi Zen Hei"/>
        <family val="2"/>
      </rPr>
      <t xml:space="preserve">【</t>
    </r>
    <r>
      <rPr>
        <b val="true"/>
        <sz val="10"/>
        <color rgb="FFFFFFFF"/>
        <rFont val="Arial"/>
        <family val="0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時報告】（</t>
    </r>
    <r>
      <rPr>
        <b val="true"/>
        <sz val="10"/>
        <color rgb="FFFFFFFF"/>
        <rFont val="Arial"/>
        <family val="0"/>
        <charset val="1"/>
      </rPr>
      <t xml:space="preserve">12:00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15:00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</si>
  <si>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【当日累計】（自動計算）</t>
  </si>
  <si>
    <t xml:space="preserve">有効提案取得率（自アポ）</t>
  </si>
  <si>
    <r>
      <rPr>
        <b val="true"/>
        <sz val="10"/>
        <rFont val="WenQuanYi Zen Hei"/>
        <family val="2"/>
      </rPr>
      <t xml:space="preserve">有効提案取得率（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</si>
  <si>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有効提案取得率（自アポ＋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合算）</t>
    </r>
  </si>
  <si>
    <t xml:space="preserve">課長報告シート（部長への時報）</t>
  </si>
  <si>
    <t xml:space="preserve">数値は「入力」シートから自動集計されます。右側の緑セルの文面をコピーして部長へ送信してください。</t>
  </si>
  <si>
    <r>
      <rPr>
        <b val="true"/>
        <sz val="10"/>
        <rFont val="WenQuanYi Zen Hei"/>
        <family val="2"/>
      </rPr>
      <t xml:space="preserve">▼ 部長への報告文（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時）</t>
    </r>
  </si>
  <si>
    <t xml:space="preserve">項目</t>
  </si>
  <si>
    <t xml:space="preserve">件数</t>
  </si>
  <si>
    <t xml:space="preserve">訪問数（分母）</t>
  </si>
  <si>
    <t xml:space="preserve">率</t>
  </si>
  <si>
    <t xml:space="preserve">有効提案取得（自アポ）</t>
  </si>
  <si>
    <r>
      <rPr>
        <b val="true"/>
        <sz val="10"/>
        <rFont val="WenQuanYi Zen Hei"/>
        <family val="2"/>
      </rPr>
      <t xml:space="preserve">有効提案取得（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</si>
  <si>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有効提案取得（自アポ＋</t>
    </r>
    <r>
      <rPr>
        <b val="true"/>
        <sz val="10"/>
        <rFont val="Arial"/>
        <family val="0"/>
        <charset val="1"/>
      </rPr>
      <t xml:space="preserve">IS</t>
    </r>
    <r>
      <rPr>
        <b val="true"/>
        <sz val="10"/>
        <rFont val="WenQuanYi Zen Hei"/>
        <family val="2"/>
      </rPr>
      <t xml:space="preserve">合算）</t>
    </r>
  </si>
  <si>
    <r>
      <rPr>
        <b val="true"/>
        <sz val="10"/>
        <rFont val="WenQuanYi Zen Hei"/>
        <family val="2"/>
      </rPr>
      <t xml:space="preserve">有効ヨミ取得数（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提案訪問数）</t>
    </r>
  </si>
  <si>
    <r>
      <rPr>
        <b val="true"/>
        <sz val="10"/>
        <rFont val="WenQuanYi Zen Hei"/>
        <family val="2"/>
      </rPr>
      <t xml:space="preserve">▼ 部長への報告文（</t>
    </r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WenQuanYi Zen Hei"/>
        <family val="2"/>
      </rPr>
      <t xml:space="preserve">時）</t>
    </r>
  </si>
  <si>
    <t xml:space="preserve">設定</t>
  </si>
  <si>
    <t xml:space="preserve">部署名</t>
  </si>
  <si>
    <r>
      <rPr>
        <sz val="10"/>
        <rFont val="Arial"/>
        <family val="0"/>
        <charset val="1"/>
      </rPr>
      <t xml:space="preserve">SL</t>
    </r>
    <r>
      <rPr>
        <sz val="10"/>
        <rFont val="WenQuanYi Zen Hei"/>
        <family val="2"/>
      </rPr>
      <t xml:space="preserve">東京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部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課</t>
    </r>
  </si>
  <si>
    <t xml:space="preserve">時報タイトル（部）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</si>
  <si>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部</t>
    </r>
  </si>
  <si>
    <t xml:space="preserve">No.</t>
  </si>
  <si>
    <t xml:space="preserve">メンバー名</t>
  </si>
  <si>
    <t xml:space="preserve">松下 魁翔</t>
  </si>
  <si>
    <t xml:space="preserve">中村 遼太</t>
  </si>
  <si>
    <t xml:space="preserve">加藤 真央</t>
  </si>
  <si>
    <t xml:space="preserve">大門 隼人</t>
  </si>
  <si>
    <t xml:space="preserve">杉本 賢亮</t>
  </si>
  <si>
    <r>
      <rPr>
        <sz val="9"/>
        <color rgb="FF7F7F7F"/>
        <rFont val="WenQuanYi Zen Hei"/>
        <family val="2"/>
      </rPr>
      <t xml:space="preserve">※ 黄色セルを変更すると「入力」「課長報告」シートに自動反映されます。</t>
    </r>
    <r>
      <rPr>
        <sz val="9"/>
        <color rgb="FF7F7F7F"/>
        <rFont val="Arial"/>
        <family val="0"/>
        <charset val="1"/>
      </rPr>
      <t xml:space="preserve">No.6</t>
    </r>
    <r>
      <rPr>
        <sz val="9"/>
        <color rgb="FF7F7F7F"/>
        <rFont val="WenQuanYi Zen Hei"/>
        <family val="2"/>
      </rPr>
      <t xml:space="preserve">・</t>
    </r>
    <r>
      <rPr>
        <sz val="9"/>
        <color rgb="FF7F7F7F"/>
        <rFont val="Arial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は増員用の予備枠です。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</si>
</sst>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General"/>
    <numFmt numFmtId="167" formatCode="0.0%"/>
    <numFmt numFmtId="168" formatCode="0\件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C00000"/>
      <name val="Arial"/>
      <family val="0"/>
      <charset val="1"/>
    </font>
    <font>
      <sz val="9"/>
      <color rgb="FFC00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WenQuanYi Zen Hei"/>
      <family val="2"/>
    </font>
    <font>
      <sz val="10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C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1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46293</v>
      </c>
      <c r="D2" s="2" t="str">
        <f aca="false">設定!B3</f>
        <v>SL東京1部1課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5" t="s">
        <v>3</v>
      </c>
    </row>
    <row r="6" customFormat="false" ht="15" hidden="false" customHeight="false" outlineLevel="0" collapsed="false">
      <c r="A6" s="6" t="s">
        <v>4</v>
      </c>
      <c r="B6" s="7" t="str">
        <f aca="false">IF(設定!B7="","",設定!B7)</f>
        <v>松下 魁翔</v>
      </c>
      <c r="C6" s="7" t="str">
        <f aca="false">IF(設定!B8="","",設定!B8)</f>
        <v>中村 遼太</v>
      </c>
      <c r="D6" s="7" t="str">
        <f aca="false">IF(設定!B9="","",設定!B9)</f>
        <v>加藤 真央</v>
      </c>
      <c r="E6" s="7" t="str">
        <f aca="false">IF(設定!B10="","",設定!B10)</f>
        <v>大門 隼人</v>
      </c>
      <c r="F6" s="7" t="str">
        <f aca="false">IF(設定!B11="","",設定!B11)</f>
        <v>杉本 賢亮</v>
      </c>
      <c r="G6" s="7" t="str">
        <f aca="false">IF(設定!B12="","",設定!B12)</f>
        <v/>
      </c>
      <c r="H6" s="7" t="str">
        <f aca="false">IF(設定!B13="","",設定!B13)</f>
        <v/>
      </c>
      <c r="I6" s="7" t="s">
        <v>5</v>
      </c>
    </row>
    <row r="7" customFormat="false" ht="15" hidden="false" customHeight="false" outlineLevel="0" collapsed="false">
      <c r="A7" s="8" t="s">
        <v>6</v>
      </c>
      <c r="B7" s="9" t="n">
        <v>3</v>
      </c>
      <c r="C7" s="9" t="n">
        <v>2</v>
      </c>
      <c r="D7" s="9" t="n">
        <v>4</v>
      </c>
      <c r="E7" s="9" t="n">
        <v>3</v>
      </c>
      <c r="F7" s="9" t="n">
        <v>2</v>
      </c>
      <c r="G7" s="9"/>
      <c r="H7" s="9"/>
      <c r="I7" s="10" t="n">
        <f aca="false">SUM(B7:H7)</f>
        <v>14</v>
      </c>
    </row>
    <row r="8" customFormat="false" ht="15" hidden="false" customHeight="false" outlineLevel="0" collapsed="false">
      <c r="A8" s="8" t="s">
        <v>7</v>
      </c>
      <c r="B8" s="9" t="n">
        <v>2</v>
      </c>
      <c r="C8" s="9" t="n">
        <v>3</v>
      </c>
      <c r="D8" s="9" t="n">
        <v>1</v>
      </c>
      <c r="E8" s="9" t="n">
        <v>2</v>
      </c>
      <c r="F8" s="9" t="n">
        <v>3</v>
      </c>
      <c r="G8" s="9"/>
      <c r="H8" s="9"/>
      <c r="I8" s="10" t="n">
        <f aca="false">SUM(B8:H8)</f>
        <v>11</v>
      </c>
    </row>
    <row r="9" customFormat="false" ht="15" hidden="false" customHeight="false" outlineLevel="0" collapsed="false">
      <c r="A9" s="8" t="s">
        <v>8</v>
      </c>
      <c r="B9" s="9" t="n">
        <v>1</v>
      </c>
      <c r="C9" s="9" t="n">
        <v>0</v>
      </c>
      <c r="D9" s="9" t="n">
        <v>1</v>
      </c>
      <c r="E9" s="9" t="n">
        <v>0</v>
      </c>
      <c r="F9" s="9" t="n">
        <v>1</v>
      </c>
      <c r="G9" s="9"/>
      <c r="H9" s="9"/>
      <c r="I9" s="10" t="n">
        <f aca="false">SUM(B9:H9)</f>
        <v>3</v>
      </c>
    </row>
    <row r="10" customFormat="false" ht="15" hidden="false" customHeight="false" outlineLevel="0" collapsed="false">
      <c r="A10" s="8" t="s">
        <v>9</v>
      </c>
      <c r="B10" s="9" t="n">
        <v>0</v>
      </c>
      <c r="C10" s="9" t="n">
        <v>1</v>
      </c>
      <c r="D10" s="9" t="n">
        <v>0</v>
      </c>
      <c r="E10" s="9" t="n">
        <v>1</v>
      </c>
      <c r="F10" s="9" t="n">
        <v>1</v>
      </c>
      <c r="G10" s="9"/>
      <c r="H10" s="9"/>
      <c r="I10" s="10" t="n">
        <f aca="false">SUM(B10:H10)</f>
        <v>3</v>
      </c>
    </row>
    <row r="11" customFormat="false" ht="15" hidden="false" customHeight="false" outlineLevel="0" collapsed="false">
      <c r="A11" s="8" t="s">
        <v>10</v>
      </c>
      <c r="B11" s="9" t="n">
        <v>1</v>
      </c>
      <c r="C11" s="9" t="n">
        <v>1</v>
      </c>
      <c r="D11" s="9" t="n">
        <v>1</v>
      </c>
      <c r="E11" s="9" t="n">
        <v>0</v>
      </c>
      <c r="F11" s="9" t="n">
        <v>2</v>
      </c>
      <c r="G11" s="9"/>
      <c r="H11" s="9"/>
      <c r="I11" s="10" t="n">
        <f aca="false">SUM(B11:H11)</f>
        <v>5</v>
      </c>
    </row>
    <row r="12" customFormat="false" ht="15" hidden="false" customHeight="false" outlineLevel="0" collapsed="false">
      <c r="A12" s="8" t="s">
        <v>11</v>
      </c>
      <c r="B12" s="9" t="n">
        <v>2</v>
      </c>
      <c r="C12" s="9" t="n">
        <v>1</v>
      </c>
      <c r="D12" s="9" t="n">
        <v>2</v>
      </c>
      <c r="E12" s="9" t="n">
        <v>1</v>
      </c>
      <c r="F12" s="9" t="n">
        <v>2</v>
      </c>
      <c r="G12" s="9"/>
      <c r="H12" s="9"/>
      <c r="I12" s="10" t="n">
        <f aca="false">SUM(B12:H12)</f>
        <v>8</v>
      </c>
    </row>
    <row r="13" customFormat="false" ht="15" hidden="false" customHeight="false" outlineLevel="0" collapsed="false">
      <c r="A13" s="8" t="s">
        <v>12</v>
      </c>
      <c r="B13" s="9" t="n">
        <v>1</v>
      </c>
      <c r="C13" s="9" t="n">
        <v>0</v>
      </c>
      <c r="D13" s="9" t="n">
        <v>1</v>
      </c>
      <c r="E13" s="9" t="n">
        <v>1</v>
      </c>
      <c r="F13" s="9" t="n">
        <v>0</v>
      </c>
      <c r="G13" s="9"/>
      <c r="H13" s="9"/>
      <c r="I13" s="10" t="n">
        <f aca="false">SUM(B13:H13)</f>
        <v>3</v>
      </c>
    </row>
    <row r="15" customFormat="false" ht="15" hidden="false" customHeight="false" outlineLevel="0" collapsed="false">
      <c r="A15" s="6" t="s">
        <v>13</v>
      </c>
      <c r="B15" s="7" t="str">
        <f aca="false">IF(設定!B7="","",設定!B7)</f>
        <v>松下 魁翔</v>
      </c>
      <c r="C15" s="7" t="str">
        <f aca="false">IF(設定!B8="","",設定!B8)</f>
        <v>中村 遼太</v>
      </c>
      <c r="D15" s="7" t="str">
        <f aca="false">IF(設定!B9="","",設定!B9)</f>
        <v>加藤 真央</v>
      </c>
      <c r="E15" s="7" t="str">
        <f aca="false">IF(設定!B10="","",設定!B10)</f>
        <v>大門 隼人</v>
      </c>
      <c r="F15" s="7" t="str">
        <f aca="false">IF(設定!B11="","",設定!B11)</f>
        <v>杉本 賢亮</v>
      </c>
      <c r="G15" s="7" t="str">
        <f aca="false">IF(設定!B12="","",設定!B12)</f>
        <v/>
      </c>
      <c r="H15" s="7" t="str">
        <f aca="false">IF(設定!B13="","",設定!B13)</f>
        <v/>
      </c>
      <c r="I15" s="7" t="s">
        <v>5</v>
      </c>
    </row>
    <row r="16" customFormat="false" ht="15" hidden="false" customHeight="false" outlineLevel="0" collapsed="false">
      <c r="A16" s="8" t="s">
        <v>6</v>
      </c>
      <c r="B16" s="9"/>
      <c r="C16" s="9"/>
      <c r="D16" s="9"/>
      <c r="E16" s="9"/>
      <c r="F16" s="9"/>
      <c r="G16" s="9"/>
      <c r="H16" s="9"/>
      <c r="I16" s="10" t="n">
        <f aca="false">SUM(B16:H16)</f>
        <v>0</v>
      </c>
    </row>
    <row r="17" customFormat="false" ht="15" hidden="false" customHeight="false" outlineLevel="0" collapsed="false">
      <c r="A17" s="8" t="s">
        <v>7</v>
      </c>
      <c r="B17" s="9"/>
      <c r="C17" s="9"/>
      <c r="D17" s="9"/>
      <c r="E17" s="9"/>
      <c r="F17" s="9"/>
      <c r="G17" s="9"/>
      <c r="H17" s="9"/>
      <c r="I17" s="10" t="n">
        <f aca="false">SUM(B17:H17)</f>
        <v>0</v>
      </c>
    </row>
    <row r="18" customFormat="false" ht="15" hidden="false" customHeight="false" outlineLevel="0" collapsed="false">
      <c r="A18" s="8" t="s">
        <v>8</v>
      </c>
      <c r="B18" s="9"/>
      <c r="C18" s="9"/>
      <c r="D18" s="9"/>
      <c r="E18" s="9"/>
      <c r="F18" s="9"/>
      <c r="G18" s="9"/>
      <c r="H18" s="9"/>
      <c r="I18" s="10" t="n">
        <f aca="false">SUM(B18:H18)</f>
        <v>0</v>
      </c>
    </row>
    <row r="19" customFormat="false" ht="15" hidden="false" customHeight="false" outlineLevel="0" collapsed="false">
      <c r="A19" s="8" t="s">
        <v>9</v>
      </c>
      <c r="B19" s="9"/>
      <c r="C19" s="9"/>
      <c r="D19" s="9"/>
      <c r="E19" s="9"/>
      <c r="F19" s="9"/>
      <c r="G19" s="9"/>
      <c r="H19" s="9"/>
      <c r="I19" s="10" t="n">
        <f aca="false">SUM(B19:H19)</f>
        <v>0</v>
      </c>
    </row>
    <row r="20" customFormat="false" ht="15" hidden="false" customHeight="false" outlineLevel="0" collapsed="false">
      <c r="A20" s="8" t="s">
        <v>10</v>
      </c>
      <c r="B20" s="9"/>
      <c r="C20" s="9"/>
      <c r="D20" s="9"/>
      <c r="E20" s="9"/>
      <c r="F20" s="9"/>
      <c r="G20" s="9"/>
      <c r="H20" s="9"/>
      <c r="I20" s="10" t="n">
        <f aca="false">SUM(B20:H20)</f>
        <v>0</v>
      </c>
    </row>
    <row r="21" customFormat="false" ht="15" hidden="false" customHeight="false" outlineLevel="0" collapsed="false">
      <c r="A21" s="8" t="s">
        <v>11</v>
      </c>
      <c r="B21" s="9"/>
      <c r="C21" s="9"/>
      <c r="D21" s="9"/>
      <c r="E21" s="9"/>
      <c r="F21" s="9"/>
      <c r="G21" s="9"/>
      <c r="H21" s="9"/>
      <c r="I21" s="10" t="n">
        <f aca="false">SUM(B21:H21)</f>
        <v>0</v>
      </c>
    </row>
    <row r="22" customFormat="false" ht="15" hidden="false" customHeight="false" outlineLevel="0" collapsed="false">
      <c r="A22" s="8" t="s">
        <v>12</v>
      </c>
      <c r="B22" s="9"/>
      <c r="C22" s="9"/>
      <c r="D22" s="9"/>
      <c r="E22" s="9"/>
      <c r="F22" s="9"/>
      <c r="G22" s="9"/>
      <c r="H22" s="9"/>
      <c r="I22" s="10" t="n">
        <f aca="false">SUM(B22:H22)</f>
        <v>0</v>
      </c>
    </row>
    <row r="24" customFormat="false" ht="15" hidden="false" customHeight="false" outlineLevel="0" collapsed="false">
      <c r="A24" s="6" t="s">
        <v>14</v>
      </c>
      <c r="B24" s="7" t="str">
        <f aca="false">IF(設定!B7="","",設定!B7)</f>
        <v>松下 魁翔</v>
      </c>
      <c r="C24" s="7" t="str">
        <f aca="false">IF(設定!B8="","",設定!B8)</f>
        <v>中村 遼太</v>
      </c>
      <c r="D24" s="7" t="str">
        <f aca="false">IF(設定!B9="","",設定!B9)</f>
        <v>加藤 真央</v>
      </c>
      <c r="E24" s="7" t="str">
        <f aca="false">IF(設定!B10="","",設定!B10)</f>
        <v>大門 隼人</v>
      </c>
      <c r="F24" s="7" t="str">
        <f aca="false">IF(設定!B11="","",設定!B11)</f>
        <v>杉本 賢亮</v>
      </c>
      <c r="G24" s="7" t="str">
        <f aca="false">IF(設定!B12="","",設定!B12)</f>
        <v/>
      </c>
      <c r="H24" s="7" t="str">
        <f aca="false">IF(設定!B13="","",設定!B13)</f>
        <v/>
      </c>
      <c r="I24" s="7" t="s">
        <v>5</v>
      </c>
    </row>
    <row r="25" customFormat="false" ht="15" hidden="false" customHeight="false" outlineLevel="0" collapsed="false">
      <c r="A25" s="8" t="s">
        <v>6</v>
      </c>
      <c r="B25" s="11" t="n">
        <f aca="false">SUM(B7,B16)</f>
        <v>3</v>
      </c>
      <c r="C25" s="11" t="n">
        <f aca="false">SUM(C7,C16)</f>
        <v>2</v>
      </c>
      <c r="D25" s="11" t="n">
        <f aca="false">SUM(D7,D16)</f>
        <v>4</v>
      </c>
      <c r="E25" s="11" t="n">
        <f aca="false">SUM(E7,E16)</f>
        <v>3</v>
      </c>
      <c r="F25" s="11" t="n">
        <f aca="false">SUM(F7,F16)</f>
        <v>2</v>
      </c>
      <c r="G25" s="11" t="n">
        <f aca="false">SUM(G7,G16)</f>
        <v>0</v>
      </c>
      <c r="H25" s="11" t="n">
        <f aca="false">SUM(H7,H16)</f>
        <v>0</v>
      </c>
      <c r="I25" s="10" t="n">
        <f aca="false">SUM(B25:H25)</f>
        <v>14</v>
      </c>
    </row>
    <row r="26" customFormat="false" ht="15" hidden="false" customHeight="false" outlineLevel="0" collapsed="false">
      <c r="A26" s="8" t="s">
        <v>7</v>
      </c>
      <c r="B26" s="11" t="n">
        <f aca="false">SUM(B8,B17)</f>
        <v>2</v>
      </c>
      <c r="C26" s="11" t="n">
        <f aca="false">SUM(C8,C17)</f>
        <v>3</v>
      </c>
      <c r="D26" s="11" t="n">
        <f aca="false">SUM(D8,D17)</f>
        <v>1</v>
      </c>
      <c r="E26" s="11" t="n">
        <f aca="false">SUM(E8,E17)</f>
        <v>2</v>
      </c>
      <c r="F26" s="11" t="n">
        <f aca="false">SUM(F8,F17)</f>
        <v>3</v>
      </c>
      <c r="G26" s="11" t="n">
        <f aca="false">SUM(G8,G17)</f>
        <v>0</v>
      </c>
      <c r="H26" s="11" t="n">
        <f aca="false">SUM(H8,H17)</f>
        <v>0</v>
      </c>
      <c r="I26" s="10" t="n">
        <f aca="false">SUM(B26:H26)</f>
        <v>11</v>
      </c>
    </row>
    <row r="27" customFormat="false" ht="15" hidden="false" customHeight="false" outlineLevel="0" collapsed="false">
      <c r="A27" s="8" t="s">
        <v>8</v>
      </c>
      <c r="B27" s="11" t="n">
        <f aca="false">SUM(B9,B18)</f>
        <v>1</v>
      </c>
      <c r="C27" s="11" t="n">
        <f aca="false">SUM(C9,C18)</f>
        <v>0</v>
      </c>
      <c r="D27" s="11" t="n">
        <f aca="false">SUM(D9,D18)</f>
        <v>1</v>
      </c>
      <c r="E27" s="11" t="n">
        <f aca="false">SUM(E9,E18)</f>
        <v>0</v>
      </c>
      <c r="F27" s="11" t="n">
        <f aca="false">SUM(F9,F18)</f>
        <v>1</v>
      </c>
      <c r="G27" s="11" t="n">
        <f aca="false">SUM(G9,G18)</f>
        <v>0</v>
      </c>
      <c r="H27" s="11" t="n">
        <f aca="false">SUM(H9,H18)</f>
        <v>0</v>
      </c>
      <c r="I27" s="10" t="n">
        <f aca="false">SUM(B27:H27)</f>
        <v>3</v>
      </c>
    </row>
    <row r="28" customFormat="false" ht="15" hidden="false" customHeight="false" outlineLevel="0" collapsed="false">
      <c r="A28" s="8" t="s">
        <v>9</v>
      </c>
      <c r="B28" s="11" t="n">
        <f aca="false">SUM(B10,B19)</f>
        <v>0</v>
      </c>
      <c r="C28" s="11" t="n">
        <f aca="false">SUM(C10,C19)</f>
        <v>1</v>
      </c>
      <c r="D28" s="11" t="n">
        <f aca="false">SUM(D10,D19)</f>
        <v>0</v>
      </c>
      <c r="E28" s="11" t="n">
        <f aca="false">SUM(E10,E19)</f>
        <v>1</v>
      </c>
      <c r="F28" s="11" t="n">
        <f aca="false">SUM(F10,F19)</f>
        <v>1</v>
      </c>
      <c r="G28" s="11" t="n">
        <f aca="false">SUM(G10,G19)</f>
        <v>0</v>
      </c>
      <c r="H28" s="11" t="n">
        <f aca="false">SUM(H10,H19)</f>
        <v>0</v>
      </c>
      <c r="I28" s="10" t="n">
        <f aca="false">SUM(B28:H28)</f>
        <v>3</v>
      </c>
    </row>
    <row r="29" customFormat="false" ht="15" hidden="false" customHeight="false" outlineLevel="0" collapsed="false">
      <c r="A29" s="8" t="s">
        <v>10</v>
      </c>
      <c r="B29" s="11" t="n">
        <f aca="false">SUM(B11,B20)</f>
        <v>1</v>
      </c>
      <c r="C29" s="11" t="n">
        <f aca="false">SUM(C11,C20)</f>
        <v>1</v>
      </c>
      <c r="D29" s="11" t="n">
        <f aca="false">SUM(D11,D20)</f>
        <v>1</v>
      </c>
      <c r="E29" s="11" t="n">
        <f aca="false">SUM(E11,E20)</f>
        <v>0</v>
      </c>
      <c r="F29" s="11" t="n">
        <f aca="false">SUM(F11,F20)</f>
        <v>2</v>
      </c>
      <c r="G29" s="11" t="n">
        <f aca="false">SUM(G11,G20)</f>
        <v>0</v>
      </c>
      <c r="H29" s="11" t="n">
        <f aca="false">SUM(H11,H20)</f>
        <v>0</v>
      </c>
      <c r="I29" s="10" t="n">
        <f aca="false">SUM(B29:H29)</f>
        <v>5</v>
      </c>
    </row>
    <row r="30" customFormat="false" ht="15" hidden="false" customHeight="false" outlineLevel="0" collapsed="false">
      <c r="A30" s="8" t="s">
        <v>11</v>
      </c>
      <c r="B30" s="11" t="n">
        <f aca="false">SUM(B12,B21)</f>
        <v>2</v>
      </c>
      <c r="C30" s="11" t="n">
        <f aca="false">SUM(C12,C21)</f>
        <v>1</v>
      </c>
      <c r="D30" s="11" t="n">
        <f aca="false">SUM(D12,D21)</f>
        <v>2</v>
      </c>
      <c r="E30" s="11" t="n">
        <f aca="false">SUM(E12,E21)</f>
        <v>1</v>
      </c>
      <c r="F30" s="11" t="n">
        <f aca="false">SUM(F12,F21)</f>
        <v>2</v>
      </c>
      <c r="G30" s="11" t="n">
        <f aca="false">SUM(G12,G21)</f>
        <v>0</v>
      </c>
      <c r="H30" s="11" t="n">
        <f aca="false">SUM(H12,H21)</f>
        <v>0</v>
      </c>
      <c r="I30" s="10" t="n">
        <f aca="false">SUM(B30:H30)</f>
        <v>8</v>
      </c>
    </row>
    <row r="31" customFormat="false" ht="15" hidden="false" customHeight="false" outlineLevel="0" collapsed="false">
      <c r="A31" s="8" t="s">
        <v>12</v>
      </c>
      <c r="B31" s="11" t="n">
        <f aca="false">SUM(B13,B22)</f>
        <v>1</v>
      </c>
      <c r="C31" s="11" t="n">
        <f aca="false">SUM(C13,C22)</f>
        <v>0</v>
      </c>
      <c r="D31" s="11" t="n">
        <f aca="false">SUM(D13,D22)</f>
        <v>1</v>
      </c>
      <c r="E31" s="11" t="n">
        <f aca="false">SUM(E13,E22)</f>
        <v>1</v>
      </c>
      <c r="F31" s="11" t="n">
        <f aca="false">SUM(F13,F22)</f>
        <v>0</v>
      </c>
      <c r="G31" s="11" t="n">
        <f aca="false">SUM(G13,G22)</f>
        <v>0</v>
      </c>
      <c r="H31" s="11" t="n">
        <f aca="false">SUM(H13,H22)</f>
        <v>0</v>
      </c>
      <c r="I31" s="10" t="n">
        <f aca="false">SUM(B31:H31)</f>
        <v>3</v>
      </c>
    </row>
    <row r="32" customFormat="false" ht="15" hidden="false" customHeight="false" outlineLevel="0" collapsed="false">
      <c r="A32" s="8" t="s">
        <v>15</v>
      </c>
      <c r="B32" s="12" t="n">
        <f aca="false">IF(N((B25))=0,"-",(B27)/(B25))</f>
        <v>0.333333333333333</v>
      </c>
      <c r="C32" s="12" t="n">
        <f aca="false">IF(N((C25))=0,"-",(C27)/(C25))</f>
        <v>0</v>
      </c>
      <c r="D32" s="12" t="n">
        <f aca="false">IF(N((D25))=0,"-",(D27)/(D25))</f>
        <v>0.25</v>
      </c>
      <c r="E32" s="12" t="n">
        <f aca="false">IF(N((E25))=0,"-",(E27)/(E25))</f>
        <v>0</v>
      </c>
      <c r="F32" s="12" t="n">
        <f aca="false">IF(N((F25))=0,"-",(F27)/(F25))</f>
        <v>0.5</v>
      </c>
      <c r="G32" s="12" t="str">
        <f aca="false">IF(N((G25))=0,"-",(G27)/(G25))</f>
        <v>-</v>
      </c>
      <c r="H32" s="12" t="str">
        <f aca="false">IF(N((H25))=0,"-",(H27)/(H25))</f>
        <v>-</v>
      </c>
      <c r="I32" s="13" t="n">
        <f aca="false">IF(N((I25))=0,"-",(I27)/(I25))</f>
        <v>0.214285714285714</v>
      </c>
    </row>
    <row r="33" customFormat="false" ht="15" hidden="false" customHeight="false" outlineLevel="0" collapsed="false">
      <c r="A33" s="8" t="s">
        <v>16</v>
      </c>
      <c r="B33" s="12" t="n">
        <f aca="false">IF(N((B26))=0,"-",(B28)/(B26))</f>
        <v>0</v>
      </c>
      <c r="C33" s="12" t="n">
        <f aca="false">IF(N((C26))=0,"-",(C28)/(C26))</f>
        <v>0.333333333333333</v>
      </c>
      <c r="D33" s="12" t="n">
        <f aca="false">IF(N((D26))=0,"-",(D28)/(D26))</f>
        <v>0</v>
      </c>
      <c r="E33" s="12" t="n">
        <f aca="false">IF(N((E26))=0,"-",(E28)/(E26))</f>
        <v>0.5</v>
      </c>
      <c r="F33" s="12" t="n">
        <f aca="false">IF(N((F26))=0,"-",(F28)/(F26))</f>
        <v>0.333333333333333</v>
      </c>
      <c r="G33" s="12" t="str">
        <f aca="false">IF(N((G26))=0,"-",(G28)/(G26))</f>
        <v>-</v>
      </c>
      <c r="H33" s="12" t="str">
        <f aca="false">IF(N((H26))=0,"-",(H28)/(H26))</f>
        <v>-</v>
      </c>
      <c r="I33" s="13" t="n">
        <f aca="false">IF(N((I26))=0,"-",(I28)/(I26))</f>
        <v>0.272727272727273</v>
      </c>
    </row>
    <row r="34" customFormat="false" ht="15" hidden="false" customHeight="false" outlineLevel="0" collapsed="false">
      <c r="A34" s="8" t="s">
        <v>17</v>
      </c>
      <c r="B34" s="12" t="n">
        <f aca="false">IF(N((B25+B26))=0,"-",(B27+B28)/(B25+B26))</f>
        <v>0.2</v>
      </c>
      <c r="C34" s="12" t="n">
        <f aca="false">IF(N((C25+C26))=0,"-",(C27+C28)/(C25+C26))</f>
        <v>0.2</v>
      </c>
      <c r="D34" s="12" t="n">
        <f aca="false">IF(N((D25+D26))=0,"-",(D27+D28)/(D25+D26))</f>
        <v>0.2</v>
      </c>
      <c r="E34" s="12" t="n">
        <f aca="false">IF(N((E25+E26))=0,"-",(E27+E28)/(E25+E26))</f>
        <v>0.2</v>
      </c>
      <c r="F34" s="12" t="n">
        <f aca="false">IF(N((F25+F26))=0,"-",(F27+F28)/(F25+F26))</f>
        <v>0.4</v>
      </c>
      <c r="G34" s="12" t="str">
        <f aca="false">IF(N((G25+G26))=0,"-",(G27+G28)/(G25+G26))</f>
        <v>-</v>
      </c>
      <c r="H34" s="12" t="str">
        <f aca="false">IF(N((H25+H26))=0,"-",(H27+H28)/(H25+H26))</f>
        <v>-</v>
      </c>
      <c r="I34" s="13" t="n">
        <f aca="false">IF(N((I25+I26))=0,"-",(I27+I28)/(I25+I26))</f>
        <v>0.24</v>
      </c>
    </row>
  </sheetData>
  <dataValidations count="1">
    <dataValidation allowBlank="false" error="0以上の整数を入力してください" errorStyle="stop" errorTitle="入力エラー" operator="greaterThanOrEqual" showDropDown="false" showErrorMessage="true" showInputMessage="false" sqref="B7:H13 B16:H22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4" t="s">
        <v>19</v>
      </c>
    </row>
    <row r="4" customFormat="false" ht="16.4" hidden="false" customHeight="false" outlineLevel="0" collapsed="false">
      <c r="A4" s="14" t="str">
        <f aca="false">"【"&amp;設定!$B$4&amp;"12時時報】"&amp;設定!$B$3</f>
        <v>【1部12時時報】SL東京1部1課</v>
      </c>
      <c r="F4" s="2" t="s">
        <v>20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F5" s="15" t="str">
        <f aca="false">"【"&amp;設定!$B$4&amp;"12時時報】"&amp;TEXT(入力!$B$2,"m/d")&amp;CHAR(10)&amp;設定!$B$3&amp;CHAR(10)&amp;CHAR(10)&amp;"■有効提案取得（自アポ）"&amp;CHAR(10)&amp;B6&amp;" / "&amp;C6&amp;" = "&amp;IF(N(C6)=0,"-",TEXT(B6/C6,"0.0%"))&amp;CHAR(10)&amp;CHAR(10)&amp;"■有効提案取得（IS）"&amp;CHAR(10)&amp;B7&amp;" / "&amp;C7&amp;" = "&amp;IF(N(C7)=0,"-",TEXT(B7/C7,"0.0%"))&amp;CHAR(10)&amp;CHAR(10)&amp;"■有効提案取得（自アポ＋IS合算）"&amp;CHAR(10)&amp;B8&amp;" / "&amp;C8&amp;" = "&amp;IF(N(C8)=0,"-",TEXT(B8/C8,"0.0%"))&amp;CHAR(10)&amp;CHAR(10)&amp;"■当日提案取得数"&amp;CHAR(10)&amp;B9&amp;"件"&amp;CHAR(10)&amp;CHAR(10)&amp;"■有効ヨミ取得数（÷提案訪問数）"&amp;CHAR(10)&amp;B10&amp;" / "&amp;C10&amp;" = "&amp;IF(N(C10)=0,"-",TEXT(B10/C10,"0.0%"))</f>
        <v>【1部12時時報】9/28
SL東京1部1課
■有効提案取得（自アポ）
3 / 14 = 21.4%
■有効提案取得（IS）
3 / 11 = 27.3%
■有効提案取得（自アポ＋IS合算）
6 / 25 = 24.0%
■当日提案取得数
5件
■有効ヨミ取得数（÷提案訪問数）
3 / 8 = 37.5%</v>
      </c>
    </row>
    <row r="6" customFormat="false" ht="18" hidden="false" customHeight="true" outlineLevel="0" collapsed="false">
      <c r="A6" s="8" t="s">
        <v>25</v>
      </c>
      <c r="B6" s="11" t="n">
        <f aca="false">入力!$I$9</f>
        <v>3</v>
      </c>
      <c r="C6" s="11" t="n">
        <f aca="false">入力!$I$7</f>
        <v>14</v>
      </c>
      <c r="D6" s="12" t="n">
        <f aca="false">IF(N(C6)=0,"-",B6/C6)</f>
        <v>0.214285714285714</v>
      </c>
      <c r="F6" s="15"/>
    </row>
    <row r="7" customFormat="false" ht="18" hidden="false" customHeight="true" outlineLevel="0" collapsed="false">
      <c r="A7" s="8" t="s">
        <v>26</v>
      </c>
      <c r="B7" s="11" t="n">
        <f aca="false">入力!$I$10</f>
        <v>3</v>
      </c>
      <c r="C7" s="11" t="n">
        <f aca="false">入力!$I$8</f>
        <v>11</v>
      </c>
      <c r="D7" s="12" t="n">
        <f aca="false">IF(N(C7)=0,"-",B7/C7)</f>
        <v>0.272727272727273</v>
      </c>
      <c r="F7" s="15"/>
    </row>
    <row r="8" customFormat="false" ht="18" hidden="false" customHeight="true" outlineLevel="0" collapsed="false">
      <c r="A8" s="8" t="s">
        <v>27</v>
      </c>
      <c r="B8" s="11" t="n">
        <f aca="false">入力!$I$9+入力!$I$10</f>
        <v>6</v>
      </c>
      <c r="C8" s="11" t="n">
        <f aca="false">入力!$I$7+入力!$I$8</f>
        <v>25</v>
      </c>
      <c r="D8" s="12" t="n">
        <f aca="false">IF(N(C8)=0,"-",B8/C8)</f>
        <v>0.24</v>
      </c>
      <c r="F8" s="15"/>
    </row>
    <row r="9" customFormat="false" ht="18" hidden="false" customHeight="true" outlineLevel="0" collapsed="false">
      <c r="A9" s="8" t="s">
        <v>10</v>
      </c>
      <c r="B9" s="16" t="n">
        <f aca="false">入力!$I$11</f>
        <v>5</v>
      </c>
      <c r="C9" s="11"/>
      <c r="D9" s="11"/>
      <c r="F9" s="15"/>
    </row>
    <row r="10" customFormat="false" ht="18" hidden="false" customHeight="true" outlineLevel="0" collapsed="false">
      <c r="A10" s="8" t="s">
        <v>28</v>
      </c>
      <c r="B10" s="11" t="n">
        <f aca="false">入力!$I$13</f>
        <v>3</v>
      </c>
      <c r="C10" s="11" t="n">
        <f aca="false">入力!$I$12</f>
        <v>8</v>
      </c>
      <c r="D10" s="12" t="n">
        <f aca="false">IF(N(C10)=0,"-",B10/C10)</f>
        <v>0.375</v>
      </c>
      <c r="F10" s="15"/>
    </row>
    <row r="11" customFormat="false" ht="18" hidden="false" customHeight="true" outlineLevel="0" collapsed="false">
      <c r="F11" s="15"/>
    </row>
    <row r="12" customFormat="false" ht="18" hidden="false" customHeight="true" outlineLevel="0" collapsed="false">
      <c r="F12" s="15"/>
    </row>
    <row r="13" customFormat="false" ht="18" hidden="false" customHeight="true" outlineLevel="0" collapsed="false">
      <c r="F13" s="15"/>
    </row>
    <row r="14" customFormat="false" ht="18" hidden="false" customHeight="true" outlineLevel="0" collapsed="false">
      <c r="F14" s="15"/>
    </row>
    <row r="15" customFormat="false" ht="18" hidden="false" customHeight="true" outlineLevel="0" collapsed="false">
      <c r="F15" s="15"/>
    </row>
    <row r="16" customFormat="false" ht="18" hidden="false" customHeight="true" outlineLevel="0" collapsed="false">
      <c r="F16" s="15"/>
    </row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>
      <c r="A19" s="14" t="str">
        <f aca="false">"【"&amp;設定!$B$4&amp;"15時時報】"&amp;設定!$B$3</f>
        <v>【1部15時時報】SL東京1部1課</v>
      </c>
      <c r="F19" s="2" t="s">
        <v>29</v>
      </c>
    </row>
    <row r="20" customFormat="false" ht="18" hidden="false" customHeight="true" outlineLevel="0" collapsed="false">
      <c r="A20" s="7" t="s">
        <v>21</v>
      </c>
      <c r="B20" s="7" t="s">
        <v>22</v>
      </c>
      <c r="C20" s="7" t="s">
        <v>23</v>
      </c>
      <c r="D20" s="7" t="s">
        <v>24</v>
      </c>
      <c r="F20" s="15" t="str">
        <f aca="false">"【"&amp;設定!$B$4&amp;"15時時報】"&amp;TEXT(入力!$B$2,"m/d")&amp;CHAR(10)&amp;設定!$B$3&amp;CHAR(10)&amp;CHAR(10)&amp;"■有効提案取得（自アポ）"&amp;CHAR(10)&amp;B21&amp;" / "&amp;C21&amp;" = "&amp;IF(N(C21)=0,"-",TEXT(B21/C21,"0.0%"))&amp;CHAR(10)&amp;CHAR(10)&amp;"■有効提案取得（IS）"&amp;CHAR(10)&amp;B22&amp;" / "&amp;C22&amp;" = "&amp;IF(N(C22)=0,"-",TEXT(B22/C22,"0.0%"))&amp;CHAR(10)&amp;CHAR(10)&amp;"■有効提案取得（自アポ＋IS合算）"&amp;CHAR(10)&amp;B23&amp;" / "&amp;C23&amp;" = "&amp;IF(N(C23)=0,"-",TEXT(B23/C23,"0.0%"))&amp;CHAR(10)&amp;CHAR(10)&amp;"■当日提案取得数"&amp;CHAR(10)&amp;B24&amp;"件"&amp;CHAR(10)&amp;CHAR(10)&amp;"■有効ヨミ取得数（÷提案訪問数）"&amp;CHAR(10)&amp;B25&amp;" / "&amp;C25&amp;" = "&amp;IF(N(C25)=0,"-",TEXT(B25/C25,"0.0%"))</f>
        <v>【1部15時時報】9/28
SL東京1部1課
■有効提案取得（自アポ）
3 / 14 = 21.4%
■有効提案取得（IS）
3 / 11 = 27.3%
■有効提案取得（自アポ＋IS合算）
6 / 25 = 24.0%
■当日提案取得数
5件
■有効ヨミ取得数（÷提案訪問数）
3 / 8 = 37.5%</v>
      </c>
    </row>
    <row r="21" customFormat="false" ht="18" hidden="false" customHeight="true" outlineLevel="0" collapsed="false">
      <c r="A21" s="8" t="s">
        <v>25</v>
      </c>
      <c r="B21" s="11" t="n">
        <f aca="false">入力!$I$9+入力!$I$18</f>
        <v>3</v>
      </c>
      <c r="C21" s="11" t="n">
        <f aca="false">入力!$I$7+入力!$I$16</f>
        <v>14</v>
      </c>
      <c r="D21" s="12" t="n">
        <f aca="false">IF(N(C21)=0,"-",B21/C21)</f>
        <v>0.214285714285714</v>
      </c>
      <c r="F21" s="15"/>
    </row>
    <row r="22" customFormat="false" ht="18" hidden="false" customHeight="true" outlineLevel="0" collapsed="false">
      <c r="A22" s="8" t="s">
        <v>26</v>
      </c>
      <c r="B22" s="11" t="n">
        <f aca="false">入力!$I$10+入力!$I$19</f>
        <v>3</v>
      </c>
      <c r="C22" s="11" t="n">
        <f aca="false">入力!$I$8+入力!$I$17</f>
        <v>11</v>
      </c>
      <c r="D22" s="12" t="n">
        <f aca="false">IF(N(C22)=0,"-",B22/C22)</f>
        <v>0.272727272727273</v>
      </c>
      <c r="F22" s="15"/>
    </row>
    <row r="23" customFormat="false" ht="18" hidden="false" customHeight="true" outlineLevel="0" collapsed="false">
      <c r="A23" s="8" t="s">
        <v>27</v>
      </c>
      <c r="B23" s="11" t="n">
        <f aca="false">入力!$I$9+入力!$I$18+入力!$I$10+入力!$I$19</f>
        <v>6</v>
      </c>
      <c r="C23" s="11" t="n">
        <f aca="false">入力!$I$7+入力!$I$16+入力!$I$8+入力!$I$17</f>
        <v>25</v>
      </c>
      <c r="D23" s="12" t="n">
        <f aca="false">IF(N(C23)=0,"-",B23/C23)</f>
        <v>0.24</v>
      </c>
      <c r="F23" s="15"/>
    </row>
    <row r="24" customFormat="false" ht="18" hidden="false" customHeight="true" outlineLevel="0" collapsed="false">
      <c r="A24" s="8" t="s">
        <v>10</v>
      </c>
      <c r="B24" s="16" t="n">
        <f aca="false">入力!$I$11+入力!$I$20</f>
        <v>5</v>
      </c>
      <c r="C24" s="11"/>
      <c r="D24" s="11"/>
      <c r="F24" s="15"/>
    </row>
    <row r="25" customFormat="false" ht="18" hidden="false" customHeight="true" outlineLevel="0" collapsed="false">
      <c r="A25" s="8" t="s">
        <v>28</v>
      </c>
      <c r="B25" s="11" t="n">
        <f aca="false">入力!$I$13+入力!$I$22</f>
        <v>3</v>
      </c>
      <c r="C25" s="11" t="n">
        <f aca="false">入力!$I$12+入力!$I$21</f>
        <v>8</v>
      </c>
      <c r="D25" s="12" t="n">
        <f aca="false">IF(N(C25)=0,"-",B25/C25)</f>
        <v>0.375</v>
      </c>
      <c r="F25" s="15"/>
    </row>
    <row r="26" customFormat="false" ht="18" hidden="false" customHeight="true" outlineLevel="0" collapsed="false">
      <c r="F26" s="15"/>
    </row>
    <row r="27" customFormat="false" ht="18" hidden="false" customHeight="true" outlineLevel="0" collapsed="false">
      <c r="F27" s="15"/>
    </row>
    <row r="28" customFormat="false" ht="18" hidden="false" customHeight="true" outlineLevel="0" collapsed="false">
      <c r="F28" s="15"/>
    </row>
    <row r="29" customFormat="false" ht="18" hidden="false" customHeight="true" outlineLevel="0" collapsed="false">
      <c r="F29" s="15"/>
    </row>
    <row r="30" customFormat="false" ht="15" hidden="false" customHeight="false" outlineLevel="0" collapsed="false">
      <c r="F30" s="15"/>
    </row>
    <row r="31" customFormat="false" ht="15" hidden="false" customHeight="false" outlineLevel="0" collapsed="false">
      <c r="F31" s="15"/>
    </row>
  </sheetData>
  <mergeCells count="2">
    <mergeCell ref="F5:F16"/>
    <mergeCell ref="F20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8" t="s">
        <v>31</v>
      </c>
      <c r="B3" s="17" t="s">
        <v>32</v>
      </c>
    </row>
    <row r="4" customFormat="false" ht="15" hidden="false" customHeight="false" outlineLevel="0" collapsed="false">
      <c r="A4" s="8" t="s">
        <v>33</v>
      </c>
      <c r="B4" s="17" t="s">
        <v>34</v>
      </c>
    </row>
    <row r="6" customFormat="false" ht="15" hidden="false" customHeight="false" outlineLevel="0" collapsed="false">
      <c r="A6" s="18" t="s">
        <v>35</v>
      </c>
      <c r="B6" s="7" t="s">
        <v>36</v>
      </c>
    </row>
    <row r="7" customFormat="false" ht="15" hidden="false" customHeight="false" outlineLevel="0" collapsed="false">
      <c r="A7" s="19" t="n">
        <v>1</v>
      </c>
      <c r="B7" s="20" t="s">
        <v>37</v>
      </c>
    </row>
    <row r="8" customFormat="false" ht="15" hidden="false" customHeight="false" outlineLevel="0" collapsed="false">
      <c r="A8" s="19" t="n">
        <v>2</v>
      </c>
      <c r="B8" s="20" t="s">
        <v>38</v>
      </c>
    </row>
    <row r="9" customFormat="false" ht="15" hidden="false" customHeight="false" outlineLevel="0" collapsed="false">
      <c r="A9" s="19" t="n">
        <v>3</v>
      </c>
      <c r="B9" s="20" t="s">
        <v>39</v>
      </c>
    </row>
    <row r="10" customFormat="false" ht="15" hidden="false" customHeight="false" outlineLevel="0" collapsed="false">
      <c r="A10" s="19" t="n">
        <v>4</v>
      </c>
      <c r="B10" s="20" t="s">
        <v>40</v>
      </c>
    </row>
    <row r="11" customFormat="false" ht="15" hidden="false" customHeight="false" outlineLevel="0" collapsed="false">
      <c r="A11" s="19" t="n">
        <v>5</v>
      </c>
      <c r="B11" s="20" t="s">
        <v>41</v>
      </c>
    </row>
    <row r="12" customFormat="false" ht="15" hidden="false" customHeight="false" outlineLevel="0" collapsed="false">
      <c r="A12" s="19" t="n">
        <v>6</v>
      </c>
      <c r="B12" s="17"/>
    </row>
    <row r="13" customFormat="false" ht="15" hidden="false" customHeight="false" outlineLevel="0" collapsed="false">
      <c r="A13" s="19" t="n">
        <v>7</v>
      </c>
      <c r="B13" s="17"/>
    </row>
    <row r="15" customFormat="false" ht="15" hidden="false" customHeight="false" outlineLevel="0" collapsed="false">
      <c r="A15" s="2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2026-09-28T03:58:21Z</dcterms:created>
  <dc:creator>openpyxl</dc:creator>
  <dc:description/>
  <dc:language>en-US</dc:language>
  <cp:lastModifiedBy/>
  <dcterms:modified xsi:type="dcterms:W3CDTF">2026-09-28T03:58:21Z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