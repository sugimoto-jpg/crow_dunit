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シミュレーション" sheetId="1" state="visible" r:id="rId3"/>
  </sheets>
  <definedNames>
    <definedName function="false" hidden="false" localSheetId="0" name="_xlnm.Print_Area" vbProcedure="false">シミュレーション!$A$1:$O$52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6" authorId="0">
      <text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ヶ月目は準備期間（リスト作成・トーク設計等）としてテストマーケティングは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件で計画</t>
        </r>
      </text>
    </comment>
  </commentList>
</comments>
</file>

<file path=xl/sharedStrings.xml><?xml version="1.0" encoding="utf-8"?>
<sst xmlns="http://schemas.openxmlformats.org/spreadsheetml/2006/main" count="51" uniqueCount="50">
  <si>
    <r>
      <rPr>
        <b val="true"/>
        <sz val="18"/>
        <color rgb="FF1F3A5F"/>
        <rFont val="Noto Sans CJK SC"/>
        <family val="2"/>
      </rPr>
      <t xml:space="preserve">営業シミュレーション（</t>
    </r>
    <r>
      <rPr>
        <b val="true"/>
        <sz val="18"/>
        <color rgb="FF1F3A5F"/>
        <rFont val="Meiryo UI"/>
        <family val="0"/>
        <charset val="1"/>
      </rPr>
      <t xml:space="preserve">13</t>
    </r>
    <r>
      <rPr>
        <b val="true"/>
        <sz val="18"/>
        <color rgb="FF1F3A5F"/>
        <rFont val="Noto Sans CJK SC"/>
        <family val="2"/>
      </rPr>
      <t xml:space="preserve">ヶ月計画）</t>
    </r>
  </si>
  <si>
    <r>
      <rPr>
        <b val="true"/>
        <sz val="12"/>
        <color rgb="FF222222"/>
        <rFont val="Noto Sans CJK SC"/>
        <family val="2"/>
      </rPr>
      <t xml:space="preserve">ご提案先：</t>
    </r>
    <r>
      <rPr>
        <b val="true"/>
        <sz val="12"/>
        <color rgb="FF222222"/>
        <rFont val="Meiryo UI"/>
        <family val="0"/>
        <charset val="1"/>
      </rPr>
      <t xml:space="preserve">J-Field</t>
    </r>
    <r>
      <rPr>
        <b val="true"/>
        <sz val="12"/>
        <color rgb="FF222222"/>
        <rFont val="Noto Sans CJK SC"/>
        <family val="2"/>
      </rPr>
      <t xml:space="preserve">合同会社 様</t>
    </r>
  </si>
  <si>
    <r>
      <rPr>
        <sz val="9"/>
        <color rgb="FF666666"/>
        <rFont val="Noto Sans CJK SC"/>
        <family val="2"/>
      </rPr>
      <t xml:space="preserve">作成日：</t>
    </r>
    <r>
      <rPr>
        <sz val="9"/>
        <color rgb="FF666666"/>
        <rFont val="Meiryo UI"/>
        <family val="0"/>
        <charset val="1"/>
      </rPr>
      <t xml:space="preserve">2026</t>
    </r>
    <r>
      <rPr>
        <sz val="9"/>
        <color rgb="FF666666"/>
        <rFont val="Noto Sans CJK SC"/>
        <family val="2"/>
      </rPr>
      <t xml:space="preserve">年</t>
    </r>
    <r>
      <rPr>
        <sz val="9"/>
        <color rgb="FF666666"/>
        <rFont val="Meiryo UI"/>
        <family val="0"/>
        <charset val="1"/>
      </rPr>
      <t xml:space="preserve">9</t>
    </r>
    <r>
      <rPr>
        <sz val="9"/>
        <color rgb="FF666666"/>
        <rFont val="Noto Sans CJK SC"/>
        <family val="2"/>
      </rPr>
      <t xml:space="preserve">月</t>
    </r>
    <r>
      <rPr>
        <sz val="9"/>
        <color rgb="FF666666"/>
        <rFont val="Meiryo UI"/>
        <family val="0"/>
        <charset val="1"/>
      </rPr>
      <t xml:space="preserve">25</t>
    </r>
    <r>
      <rPr>
        <sz val="9"/>
        <color rgb="FF666666"/>
        <rFont val="Noto Sans CJK SC"/>
        <family val="2"/>
      </rPr>
      <t xml:space="preserve">日</t>
    </r>
  </si>
  <si>
    <t xml:space="preserve">■ 前提条件</t>
  </si>
  <si>
    <t xml:space="preserve">項目</t>
  </si>
  <si>
    <t xml:space="preserve">設定値</t>
  </si>
  <si>
    <t xml:space="preserve">備考</t>
  </si>
  <si>
    <t xml:space="preserve">テストマーケティング　アポ率</t>
  </si>
  <si>
    <r>
      <rPr>
        <sz val="9"/>
        <color rgb="FF555555"/>
        <rFont val="Noto Sans CJK SC"/>
        <family val="2"/>
      </rPr>
      <t xml:space="preserve">実施件数に対するアポ獲得率（元資料 想定アポ</t>
    </r>
    <r>
      <rPr>
        <sz val="9"/>
        <color rgb="FF555555"/>
        <rFont val="Meiryo UI"/>
        <family val="0"/>
        <charset val="1"/>
      </rPr>
      <t xml:space="preserve">54</t>
    </r>
    <r>
      <rPr>
        <sz val="9"/>
        <color rgb="FF555555"/>
        <rFont val="Noto Sans CJK SC"/>
        <family val="2"/>
      </rPr>
      <t xml:space="preserve">件 </t>
    </r>
    <r>
      <rPr>
        <sz val="9"/>
        <color rgb="FF555555"/>
        <rFont val="Meiryo UI"/>
        <family val="0"/>
        <charset val="1"/>
      </rPr>
      <t xml:space="preserve">÷ 6,000</t>
    </r>
    <r>
      <rPr>
        <sz val="9"/>
        <color rgb="FF555555"/>
        <rFont val="Noto Sans CJK SC"/>
        <family val="2"/>
      </rPr>
      <t xml:space="preserve">件 より算出）</t>
    </r>
  </si>
  <si>
    <t xml:space="preserve">オートフォーム　送付率</t>
  </si>
  <si>
    <t xml:space="preserve">フォーム送信件数のうち、先方に届く（送付完了する）割合</t>
  </si>
  <si>
    <t xml:space="preserve">オートフォーム　アポ率</t>
  </si>
  <si>
    <t xml:space="preserve">送付完了件数に対するアポ獲得率</t>
  </si>
  <si>
    <t xml:space="preserve">※ 青字・黄色セルは入力値です。変更すると表・グラフが自動で再計算されます。</t>
  </si>
  <si>
    <t xml:space="preserve">■ 月別シミュレーション</t>
  </si>
  <si>
    <r>
      <rPr>
        <b val="true"/>
        <sz val="9"/>
        <color rgb="FFFFFFFF"/>
        <rFont val="Noto Sans CJK SC"/>
        <family val="2"/>
      </rPr>
      <t xml:space="preserve">施策 </t>
    </r>
    <r>
      <rPr>
        <b val="true"/>
        <sz val="9"/>
        <color rgb="FFFFFFFF"/>
        <rFont val="Meiryo UI"/>
        <family val="0"/>
        <charset val="1"/>
      </rPr>
      <t xml:space="preserve">/ </t>
    </r>
    <r>
      <rPr>
        <b val="true"/>
        <sz val="9"/>
        <color rgb="FFFFFFFF"/>
        <rFont val="Noto Sans CJK SC"/>
        <family val="2"/>
      </rPr>
      <t xml:space="preserve">項目</t>
    </r>
  </si>
  <si>
    <t xml:space="preserve">合計</t>
  </si>
  <si>
    <r>
      <rPr>
        <b val="true"/>
        <sz val="9"/>
        <color rgb="FFFFFFFF"/>
        <rFont val="Meiryo UI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ヶ月目</t>
    </r>
  </si>
  <si>
    <r>
      <rPr>
        <b val="true"/>
        <sz val="9"/>
        <color rgb="FFFFFFFF"/>
        <rFont val="Meiryo UI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ヶ月目</t>
    </r>
  </si>
  <si>
    <r>
      <rPr>
        <b val="true"/>
        <sz val="9"/>
        <color rgb="FFFFFFFF"/>
        <rFont val="Meiryo UI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ヶ月目</t>
    </r>
  </si>
  <si>
    <r>
      <rPr>
        <b val="true"/>
        <sz val="9"/>
        <color rgb="FFFFFFFF"/>
        <rFont val="Meiryo UI"/>
        <family val="0"/>
        <charset val="1"/>
      </rPr>
      <t xml:space="preserve">4</t>
    </r>
    <r>
      <rPr>
        <b val="true"/>
        <sz val="9"/>
        <color rgb="FFFFFFFF"/>
        <rFont val="Noto Sans CJK SC"/>
        <family val="2"/>
      </rPr>
      <t xml:space="preserve">ヶ月目</t>
    </r>
  </si>
  <si>
    <r>
      <rPr>
        <b val="true"/>
        <sz val="9"/>
        <color rgb="FFFFFFFF"/>
        <rFont val="Meiryo UI"/>
        <family val="0"/>
        <charset val="1"/>
      </rPr>
      <t xml:space="preserve">5</t>
    </r>
    <r>
      <rPr>
        <b val="true"/>
        <sz val="9"/>
        <color rgb="FFFFFFFF"/>
        <rFont val="Noto Sans CJK SC"/>
        <family val="2"/>
      </rPr>
      <t xml:space="preserve">ヶ月目</t>
    </r>
  </si>
  <si>
    <r>
      <rPr>
        <b val="true"/>
        <sz val="9"/>
        <color rgb="FFFFFFFF"/>
        <rFont val="Meiryo UI"/>
        <family val="0"/>
        <charset val="1"/>
      </rPr>
      <t xml:space="preserve">6</t>
    </r>
    <r>
      <rPr>
        <b val="true"/>
        <sz val="9"/>
        <color rgb="FFFFFFFF"/>
        <rFont val="Noto Sans CJK SC"/>
        <family val="2"/>
      </rPr>
      <t xml:space="preserve">ヶ月目</t>
    </r>
  </si>
  <si>
    <r>
      <rPr>
        <b val="true"/>
        <sz val="9"/>
        <color rgb="FFFFFFFF"/>
        <rFont val="Meiryo UI"/>
        <family val="0"/>
        <charset val="1"/>
      </rPr>
      <t xml:space="preserve">7</t>
    </r>
    <r>
      <rPr>
        <b val="true"/>
        <sz val="9"/>
        <color rgb="FFFFFFFF"/>
        <rFont val="Noto Sans CJK SC"/>
        <family val="2"/>
      </rPr>
      <t xml:space="preserve">ヶ月目</t>
    </r>
  </si>
  <si>
    <r>
      <rPr>
        <b val="true"/>
        <sz val="9"/>
        <color rgb="FFFFFFFF"/>
        <rFont val="Meiryo UI"/>
        <family val="0"/>
        <charset val="1"/>
      </rPr>
      <t xml:space="preserve">8</t>
    </r>
    <r>
      <rPr>
        <b val="true"/>
        <sz val="9"/>
        <color rgb="FFFFFFFF"/>
        <rFont val="Noto Sans CJK SC"/>
        <family val="2"/>
      </rPr>
      <t xml:space="preserve">ヶ月目</t>
    </r>
  </si>
  <si>
    <r>
      <rPr>
        <b val="true"/>
        <sz val="9"/>
        <color rgb="FFFFFFFF"/>
        <rFont val="Meiryo UI"/>
        <family val="0"/>
        <charset val="1"/>
      </rPr>
      <t xml:space="preserve">9</t>
    </r>
    <r>
      <rPr>
        <b val="true"/>
        <sz val="9"/>
        <color rgb="FFFFFFFF"/>
        <rFont val="Noto Sans CJK SC"/>
        <family val="2"/>
      </rPr>
      <t xml:space="preserve">ヶ月目</t>
    </r>
  </si>
  <si>
    <r>
      <rPr>
        <b val="true"/>
        <sz val="9"/>
        <color rgb="FFFFFFFF"/>
        <rFont val="Meiryo UI"/>
        <family val="0"/>
        <charset val="1"/>
      </rPr>
      <t xml:space="preserve">10</t>
    </r>
    <r>
      <rPr>
        <b val="true"/>
        <sz val="9"/>
        <color rgb="FFFFFFFF"/>
        <rFont val="Noto Sans CJK SC"/>
        <family val="2"/>
      </rPr>
      <t xml:space="preserve">ヶ月目</t>
    </r>
  </si>
  <si>
    <r>
      <rPr>
        <b val="true"/>
        <sz val="9"/>
        <color rgb="FFFFFFFF"/>
        <rFont val="Meiryo UI"/>
        <family val="0"/>
        <charset val="1"/>
      </rPr>
      <t xml:space="preserve">11</t>
    </r>
    <r>
      <rPr>
        <b val="true"/>
        <sz val="9"/>
        <color rgb="FFFFFFFF"/>
        <rFont val="Noto Sans CJK SC"/>
        <family val="2"/>
      </rPr>
      <t xml:space="preserve">ヶ月目</t>
    </r>
  </si>
  <si>
    <r>
      <rPr>
        <b val="true"/>
        <sz val="9"/>
        <color rgb="FFFFFFFF"/>
        <rFont val="Meiryo UI"/>
        <family val="0"/>
        <charset val="1"/>
      </rPr>
      <t xml:space="preserve">12</t>
    </r>
    <r>
      <rPr>
        <b val="true"/>
        <sz val="9"/>
        <color rgb="FFFFFFFF"/>
        <rFont val="Noto Sans CJK SC"/>
        <family val="2"/>
      </rPr>
      <t xml:space="preserve">ヶ月目</t>
    </r>
  </si>
  <si>
    <r>
      <rPr>
        <b val="true"/>
        <sz val="9"/>
        <color rgb="FFFFFFFF"/>
        <rFont val="Meiryo UI"/>
        <family val="0"/>
        <charset val="1"/>
      </rPr>
      <t xml:space="preserve">13</t>
    </r>
    <r>
      <rPr>
        <b val="true"/>
        <sz val="9"/>
        <color rgb="FFFFFFFF"/>
        <rFont val="Noto Sans CJK SC"/>
        <family val="2"/>
      </rPr>
      <t xml:space="preserve">ヶ月目</t>
    </r>
  </si>
  <si>
    <t xml:space="preserve">① テストマーケティング</t>
  </si>
  <si>
    <t xml:space="preserve">実施件数</t>
  </si>
  <si>
    <t xml:space="preserve">グラフ用</t>
  </si>
  <si>
    <t xml:space="preserve">想定アポ獲得数</t>
  </si>
  <si>
    <t xml:space="preserve">テストマーケティング</t>
  </si>
  <si>
    <t xml:space="preserve">② （貴社）オートフォームアプローチ</t>
  </si>
  <si>
    <t xml:space="preserve">オートフォーム</t>
  </si>
  <si>
    <t xml:space="preserve">フォーム送信件数</t>
  </si>
  <si>
    <t xml:space="preserve">送付完了件数</t>
  </si>
  <si>
    <t xml:space="preserve">③ 合計</t>
  </si>
  <si>
    <t xml:space="preserve">合計アポイント数</t>
  </si>
  <si>
    <t xml:space="preserve">累計アポイント数</t>
  </si>
  <si>
    <r>
      <rPr>
        <sz val="8"/>
        <color rgb="FF777777"/>
        <rFont val="Meiryo UI"/>
        <family val="0"/>
        <charset val="1"/>
      </rPr>
      <t xml:space="preserve">※ 1</t>
    </r>
    <r>
      <rPr>
        <sz val="8"/>
        <color rgb="FF777777"/>
        <rFont val="Noto Sans CJK SC"/>
        <family val="2"/>
      </rPr>
      <t xml:space="preserve">ヶ月目は準備期間のため、テストマーケティングは</t>
    </r>
    <r>
      <rPr>
        <sz val="8"/>
        <color rgb="FF777777"/>
        <rFont val="Meiryo UI"/>
        <family val="0"/>
        <charset val="1"/>
      </rPr>
      <t xml:space="preserve">2</t>
    </r>
    <r>
      <rPr>
        <sz val="8"/>
        <color rgb="FF777777"/>
        <rFont val="Noto Sans CJK SC"/>
        <family val="2"/>
      </rPr>
      <t xml:space="preserve">ヶ月目から開始する想定です。アポ数は小数点第</t>
    </r>
    <r>
      <rPr>
        <sz val="8"/>
        <color rgb="FF777777"/>
        <rFont val="Meiryo UI"/>
        <family val="0"/>
        <charset val="1"/>
      </rPr>
      <t xml:space="preserve">1</t>
    </r>
    <r>
      <rPr>
        <sz val="8"/>
        <color rgb="FF777777"/>
        <rFont val="Noto Sans CJK SC"/>
        <family val="2"/>
      </rPr>
      <t xml:space="preserve">位まで表示しています。</t>
    </r>
  </si>
  <si>
    <t xml:space="preserve">■ サマリー</t>
  </si>
  <si>
    <r>
      <rPr>
        <b val="true"/>
        <sz val="9"/>
        <color rgb="FFFFFFFF"/>
        <rFont val="Noto Sans CJK SC"/>
        <family val="2"/>
      </rPr>
      <t xml:space="preserve">想定アポ獲得数（</t>
    </r>
    <r>
      <rPr>
        <b val="true"/>
        <sz val="9"/>
        <color rgb="FFFFFFFF"/>
        <rFont val="Meiryo UI"/>
        <family val="0"/>
        <charset val="1"/>
      </rPr>
      <t xml:space="preserve">13</t>
    </r>
    <r>
      <rPr>
        <b val="true"/>
        <sz val="9"/>
        <color rgb="FFFFFFFF"/>
        <rFont val="Noto Sans CJK SC"/>
        <family val="2"/>
      </rPr>
      <t xml:space="preserve">ヶ月合計）</t>
    </r>
  </si>
  <si>
    <t xml:space="preserve">月平均アポ獲得数</t>
  </si>
  <si>
    <t xml:space="preserve">総アプローチ件数</t>
  </si>
  <si>
    <t xml:space="preserve">テストマーケ経由</t>
  </si>
  <si>
    <t xml:space="preserve">オートフォーム経由</t>
  </si>
  <si>
    <t xml:space="preserve">■ グラフ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</si>
</sst>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#,##0;\-#,##0;\-"/>
    <numFmt numFmtId="167" formatCode="#,##0.0;\-#,##0.0;\-"/>
    <numFmt numFmtId="168" formatCode="#,##0\件"/>
    <numFmt numFmtId="169" formatCode="0.0\件"/>
    <numFmt numFmtId="170" formatCode="#,##0.0\件"/>
    <numFmt numFmtId="171" formatCode="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Noto Sans CJK SC"/>
      <family val="2"/>
    </font>
    <font>
      <b val="true"/>
      <sz val="18"/>
      <color rgb="FF1F3A5F"/>
      <name val="Meiryo UI"/>
      <family val="0"/>
      <charset val="1"/>
    </font>
    <font>
      <b val="true"/>
      <sz val="12"/>
      <color rgb="FF222222"/>
      <name val="Noto Sans CJK SC"/>
      <family val="2"/>
    </font>
    <font>
      <b val="true"/>
      <sz val="12"/>
      <color rgb="FF222222"/>
      <name val="Meiryo UI"/>
      <family val="0"/>
      <charset val="1"/>
    </font>
    <font>
      <sz val="9"/>
      <color rgb="FF666666"/>
      <name val="Noto Sans CJK SC"/>
      <family val="2"/>
    </font>
    <font>
      <sz val="9"/>
      <color rgb="FF666666"/>
      <name val="Meiryo UI"/>
      <family val="0"/>
      <charset val="1"/>
    </font>
    <font>
      <b val="true"/>
      <sz val="11"/>
      <color rgb="FF1F3A5F"/>
      <name val="Noto Sans CJK SC"/>
      <family val="2"/>
    </font>
    <font>
      <b val="true"/>
      <sz val="9"/>
      <color rgb="FFFFFFFF"/>
      <name val="Noto Sans CJK SC"/>
      <family val="2"/>
    </font>
    <font>
      <sz val="10"/>
      <color rgb="FF222222"/>
      <name val="Noto Sans CJK SC"/>
      <family val="2"/>
    </font>
    <font>
      <b val="true"/>
      <sz val="10"/>
      <color rgb="FF0000FF"/>
      <name val="Meiryo UI"/>
      <family val="0"/>
      <charset val="1"/>
    </font>
    <font>
      <sz val="9"/>
      <color rgb="FF555555"/>
      <name val="Noto Sans CJK SC"/>
      <family val="2"/>
    </font>
    <font>
      <sz val="9"/>
      <color rgb="FF555555"/>
      <name val="Meiryo UI"/>
      <family val="0"/>
      <charset val="1"/>
    </font>
    <font>
      <sz val="8"/>
      <color rgb="FF777777"/>
      <name val="Noto Sans CJK SC"/>
      <family val="2"/>
    </font>
    <font>
      <b val="true"/>
      <sz val="9"/>
      <color rgb="FFFFFFFF"/>
      <name val="Meiryo UI"/>
      <family val="0"/>
      <charset val="1"/>
    </font>
    <font>
      <b val="true"/>
      <sz val="10"/>
      <color rgb="FF1F3A5F"/>
      <name val="Noto Sans CJK SC"/>
      <family val="2"/>
    </font>
    <font>
      <b val="true"/>
      <sz val="10"/>
      <color rgb="FF222222"/>
      <name val="Meiryo UI"/>
      <family val="0"/>
      <charset val="1"/>
    </font>
    <font>
      <sz val="10"/>
      <color rgb="FF0000FF"/>
      <name val="Meiryo UI"/>
      <family val="0"/>
      <charset val="1"/>
    </font>
    <font>
      <sz val="8"/>
      <color rgb="FF999999"/>
      <name val="Noto Sans CJK SC"/>
      <family val="2"/>
    </font>
    <font>
      <sz val="10"/>
      <color rgb="FF222222"/>
      <name val="Meiryo UI"/>
      <family val="0"/>
      <charset val="1"/>
    </font>
    <font>
      <sz val="8"/>
      <color rgb="FF999999"/>
      <name val="Meiryo UI"/>
      <family val="0"/>
      <charset val="1"/>
    </font>
    <font>
      <b val="true"/>
      <sz val="10"/>
      <color rgb="FF222222"/>
      <name val="Noto Sans CJK SC"/>
      <family val="2"/>
    </font>
    <font>
      <sz val="8"/>
      <color rgb="FF777777"/>
      <name val="Meiryo UI"/>
      <family val="0"/>
      <charset val="1"/>
    </font>
    <font>
      <sz val="10"/>
      <name val="Arial"/>
      <family val="2"/>
    </font>
    <font>
      <sz val="10"/>
      <name val="Noto Sans CJK SC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11">
    <fill>
      <patternFill patternType="none"/>
    </fill>
    <fill>
      <patternFill patternType="gray125"/>
    </fill>
    <fill>
      <patternFill patternType="solid">
        <fgColor rgb="FF1F3A5F"/>
        <bgColor rgb="FF222222"/>
      </patternFill>
    </fill>
    <fill>
      <patternFill patternType="solid">
        <fgColor rgb="FF2F6FB3"/>
        <bgColor rgb="FF4F81BD"/>
      </patternFill>
    </fill>
    <fill>
      <patternFill patternType="solid">
        <fgColor rgb="FFFFF8D6"/>
        <bgColor rgb="FFFFF3D6"/>
      </patternFill>
    </fill>
    <fill>
      <patternFill patternType="solid">
        <fgColor rgb="FFFBE9E9"/>
        <bgColor rgb="FFFFF3D6"/>
      </patternFill>
    </fill>
    <fill>
      <patternFill patternType="solid">
        <fgColor rgb="FFFFFFFF"/>
        <bgColor rgb="FFEEF4FB"/>
      </patternFill>
    </fill>
    <fill>
      <patternFill patternType="solid">
        <fgColor rgb="FFFFF3D6"/>
        <bgColor rgb="FFFFF8D6"/>
      </patternFill>
    </fill>
    <fill>
      <patternFill patternType="solid">
        <fgColor rgb="FFE8F4EA"/>
        <bgColor rgb="FFEAF2FB"/>
      </patternFill>
    </fill>
    <fill>
      <patternFill patternType="solid">
        <fgColor rgb="FFEAF2FB"/>
        <bgColor rgb="FFEEF4FB"/>
      </patternFill>
    </fill>
    <fill>
      <patternFill patternType="solid">
        <fgColor rgb="FFEEF4FB"/>
        <bgColor rgb="FFEAF2FB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A5F"/>
      </bottom>
      <diagonal/>
    </border>
    <border diagonalUp="false" diagonalDown="false">
      <left style="thin">
        <color rgb="FFC9D1DA"/>
      </left>
      <right style="thin">
        <color rgb="FFC9D1DA"/>
      </right>
      <top style="thin">
        <color rgb="FFC9D1DA"/>
      </top>
      <bottom style="thin">
        <color rgb="FFC9D1DA"/>
      </bottom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2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1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008080"/>
      <rgbColor rgb="FFD9D9D9"/>
      <rgbColor rgb="FF878787"/>
      <rgbColor rgb="FF9999FF"/>
      <rgbColor rgb="FF993366"/>
      <rgbColor rgb="FFFFF8D6"/>
      <rgbColor rgb="FFE8F4EA"/>
      <rgbColor rgb="FF660066"/>
      <rgbColor rgb="FFE8878C"/>
      <rgbColor rgb="FF0066CC"/>
      <rgbColor rgb="FFC9D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B"/>
      <rgbColor rgb="FFEEF4FB"/>
      <rgbColor rgb="FFFFF3D6"/>
      <rgbColor rgb="FF99CCFF"/>
      <rgbColor rgb="FFFF99CC"/>
      <rgbColor rgb="FFCC99FF"/>
      <rgbColor rgb="FFFBE9E9"/>
      <rgbColor rgb="FF2F6FB3"/>
      <rgbColor rgb="FF6BBF7A"/>
      <rgbColor rgb="FF99CC00"/>
      <rgbColor rgb="FFFFCC00"/>
      <rgbColor rgb="FFFF9900"/>
      <rgbColor rgb="FFFF6600"/>
      <rgbColor rgb="FF666666"/>
      <rgbColor rgb="FF999999"/>
      <rgbColor rgb="FF1F3A5F"/>
      <rgbColor rgb="FF4F81BD"/>
      <rgbColor rgb="FF003300"/>
      <rgbColor rgb="FF333300"/>
      <rgbColor rgb="FF993300"/>
      <rgbColor rgb="FF993366"/>
      <rgbColor rgb="FF555555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月別アポ獲得数と累計推移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"テストマーケティング"</c:f>
              <c:strCache>
                <c:ptCount val="1"/>
                <c:pt idx="0">
                  <c:v>テストマーケティング</c:v>
                </c:pt>
              </c:strCache>
            </c:strRef>
          </c:tx>
          <c:spPr>
            <a:solidFill>
              <a:srgbClr val="e887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シミュレーション!$C$14:$O$14</c:f>
              <c:multiLvlStrCache>
                <c:ptCount val="1"/>
                <c:lvl>
                  <c:pt idx="0">
                    <c:v>13ヶ月目</c:v>
                  </c:pt>
                </c:lvl>
                <c:lvl>
                  <c:pt idx="0">
                    <c:v>12ヶ月目</c:v>
                  </c:pt>
                </c:lvl>
                <c:lvl>
                  <c:pt idx="0">
                    <c:v>11ヶ月目</c:v>
                  </c:pt>
                </c:lvl>
                <c:lvl>
                  <c:pt idx="0">
                    <c:v>10ヶ月目</c:v>
                  </c:pt>
                </c:lvl>
                <c:lvl>
                  <c:pt idx="0">
                    <c:v>9ヶ月目</c:v>
                  </c:pt>
                </c:lvl>
                <c:lvl>
                  <c:pt idx="0">
                    <c:v>8ヶ月目</c:v>
                  </c:pt>
                </c:lvl>
                <c:lvl>
                  <c:pt idx="0">
                    <c:v>7ヶ月目</c:v>
                  </c:pt>
                </c:lvl>
                <c:lvl>
                  <c:pt idx="0">
                    <c:v>6ヶ月目</c:v>
                  </c:pt>
                </c:lvl>
                <c:lvl>
                  <c:pt idx="0">
                    <c:v>5ヶ月目</c:v>
                  </c:pt>
                </c:lvl>
                <c:lvl>
                  <c:pt idx="0">
                    <c:v>4ヶ月目</c:v>
                  </c:pt>
                </c:lvl>
                <c:lvl>
                  <c:pt idx="0">
                    <c:v>3ヶ月目</c:v>
                  </c:pt>
                </c:lvl>
                <c:lvl>
                  <c:pt idx="0">
                    <c:v>2ヶ月目</c:v>
                  </c:pt>
                </c:lvl>
                <c:lvl>
                  <c:pt idx="0">
                    <c:v>1ヶ月目</c:v>
                  </c:pt>
                </c:lvl>
              </c:multiLvlStrCache>
            </c:multiLvlStrRef>
          </c:cat>
          <c:val>
            <c:numRef>
              <c:f>シミュレーション!$C$17:$O$17</c:f>
              <c:numCache>
                <c:formatCode>#,##0.0;\-#,##0.0;\-</c:formatCode>
                <c:ptCount val="13"/>
                <c:pt idx="0">
                  <c:v>0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4.5</c:v>
                </c:pt>
                <c:pt idx="8">
                  <c:v>4.5</c:v>
                </c:pt>
                <c:pt idx="9">
                  <c:v>4.5</c:v>
                </c:pt>
                <c:pt idx="10">
                  <c:v>4.5</c:v>
                </c:pt>
                <c:pt idx="11">
                  <c:v>4.5</c:v>
                </c:pt>
                <c:pt idx="12">
                  <c:v>4.5</c:v>
                </c:pt>
              </c:numCache>
            </c:numRef>
          </c:val>
        </c:ser>
        <c:ser>
          <c:idx val="1"/>
          <c:order val="1"/>
          <c:tx>
            <c:strRef>
              <c:f>"オートフォーム"</c:f>
              <c:strCache>
                <c:ptCount val="1"/>
                <c:pt idx="0">
                  <c:v>オートフォーム</c:v>
                </c:pt>
              </c:strCache>
            </c:strRef>
          </c:tx>
          <c:spPr>
            <a:solidFill>
              <a:srgbClr val="6bbf7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シミュレーション!$C$14:$O$14</c:f>
              <c:multiLvlStrCache>
                <c:ptCount val="1"/>
                <c:lvl>
                  <c:pt idx="0">
                    <c:v>13ヶ月目</c:v>
                  </c:pt>
                </c:lvl>
                <c:lvl>
                  <c:pt idx="0">
                    <c:v>12ヶ月目</c:v>
                  </c:pt>
                </c:lvl>
                <c:lvl>
                  <c:pt idx="0">
                    <c:v>11ヶ月目</c:v>
                  </c:pt>
                </c:lvl>
                <c:lvl>
                  <c:pt idx="0">
                    <c:v>10ヶ月目</c:v>
                  </c:pt>
                </c:lvl>
                <c:lvl>
                  <c:pt idx="0">
                    <c:v>9ヶ月目</c:v>
                  </c:pt>
                </c:lvl>
                <c:lvl>
                  <c:pt idx="0">
                    <c:v>8ヶ月目</c:v>
                  </c:pt>
                </c:lvl>
                <c:lvl>
                  <c:pt idx="0">
                    <c:v>7ヶ月目</c:v>
                  </c:pt>
                </c:lvl>
                <c:lvl>
                  <c:pt idx="0">
                    <c:v>6ヶ月目</c:v>
                  </c:pt>
                </c:lvl>
                <c:lvl>
                  <c:pt idx="0">
                    <c:v>5ヶ月目</c:v>
                  </c:pt>
                </c:lvl>
                <c:lvl>
                  <c:pt idx="0">
                    <c:v>4ヶ月目</c:v>
                  </c:pt>
                </c:lvl>
                <c:lvl>
                  <c:pt idx="0">
                    <c:v>3ヶ月目</c:v>
                  </c:pt>
                </c:lvl>
                <c:lvl>
                  <c:pt idx="0">
                    <c:v>2ヶ月目</c:v>
                  </c:pt>
                </c:lvl>
                <c:lvl>
                  <c:pt idx="0">
                    <c:v>1ヶ月目</c:v>
                  </c:pt>
                </c:lvl>
              </c:multiLvlStrCache>
            </c:multiLvlStrRef>
          </c:cat>
          <c:val>
            <c:numRef>
              <c:f>シミュレーション!$C$21:$O$21</c:f>
              <c:numCache>
                <c:formatCode>#,##0.0;\-#,##0.0;\-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</c:ser>
        <c:gapWidth val="60"/>
        <c:overlap val="100"/>
        <c:axId val="78096313"/>
        <c:axId val="9745382"/>
      </c:barChart>
      <c:lineChart>
        <c:grouping val="stacked"/>
        <c:varyColors val="0"/>
        <c:ser>
          <c:idx val="2"/>
          <c:order val="2"/>
          <c:tx>
            <c:strRef>
              <c:f>"累計アポ数（右軸）"</c:f>
              <c:strCache>
                <c:ptCount val="1"/>
                <c:pt idx="0">
                  <c:v>累計アポ数（右軸）</c:v>
                </c:pt>
              </c:strCache>
            </c:strRef>
          </c:tx>
          <c:spPr>
            <a:solidFill>
              <a:srgbClr val="1f3a5f"/>
            </a:solidFill>
            <a:ln w="28080">
              <a:solidFill>
                <a:srgbClr val="1f3a5f"/>
              </a:solidFill>
              <a:round/>
            </a:ln>
          </c:spPr>
          <c:marker>
            <c:symbol val="circle"/>
            <c:size val="6"/>
            <c:spPr>
              <a:solidFill>
                <a:srgbClr val="1f3a5f"/>
              </a:solidFill>
            </c:spPr>
          </c:marker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シミュレーション!$C$14:$O$14</c:f>
              <c:multiLvlStrCache>
                <c:ptCount val="1"/>
                <c:lvl>
                  <c:pt idx="0">
                    <c:v>13ヶ月目</c:v>
                  </c:pt>
                </c:lvl>
                <c:lvl>
                  <c:pt idx="0">
                    <c:v>12ヶ月目</c:v>
                  </c:pt>
                </c:lvl>
                <c:lvl>
                  <c:pt idx="0">
                    <c:v>11ヶ月目</c:v>
                  </c:pt>
                </c:lvl>
                <c:lvl>
                  <c:pt idx="0">
                    <c:v>10ヶ月目</c:v>
                  </c:pt>
                </c:lvl>
                <c:lvl>
                  <c:pt idx="0">
                    <c:v>9ヶ月目</c:v>
                  </c:pt>
                </c:lvl>
                <c:lvl>
                  <c:pt idx="0">
                    <c:v>8ヶ月目</c:v>
                  </c:pt>
                </c:lvl>
                <c:lvl>
                  <c:pt idx="0">
                    <c:v>7ヶ月目</c:v>
                  </c:pt>
                </c:lvl>
                <c:lvl>
                  <c:pt idx="0">
                    <c:v>6ヶ月目</c:v>
                  </c:pt>
                </c:lvl>
                <c:lvl>
                  <c:pt idx="0">
                    <c:v>5ヶ月目</c:v>
                  </c:pt>
                </c:lvl>
                <c:lvl>
                  <c:pt idx="0">
                    <c:v>4ヶ月目</c:v>
                  </c:pt>
                </c:lvl>
                <c:lvl>
                  <c:pt idx="0">
                    <c:v>3ヶ月目</c:v>
                  </c:pt>
                </c:lvl>
                <c:lvl>
                  <c:pt idx="0">
                    <c:v>2ヶ月目</c:v>
                  </c:pt>
                </c:lvl>
                <c:lvl>
                  <c:pt idx="0">
                    <c:v>1ヶ月目</c:v>
                  </c:pt>
                </c:lvl>
              </c:multiLvlStrCache>
            </c:multiLvlStrRef>
          </c:cat>
          <c:val>
            <c:numRef>
              <c:f>シミュレーション!$C$24:$O$24</c:f>
              <c:numCache>
                <c:formatCode>#,##0.0;\-#,##0.0;\-</c:formatCode>
                <c:ptCount val="13"/>
                <c:pt idx="0">
                  <c:v>4</c:v>
                </c:pt>
                <c:pt idx="1">
                  <c:v>12.5</c:v>
                </c:pt>
                <c:pt idx="2">
                  <c:v>21</c:v>
                </c:pt>
                <c:pt idx="3">
                  <c:v>29.5</c:v>
                </c:pt>
                <c:pt idx="4">
                  <c:v>38</c:v>
                </c:pt>
                <c:pt idx="5">
                  <c:v>46.5</c:v>
                </c:pt>
                <c:pt idx="6">
                  <c:v>55</c:v>
                </c:pt>
                <c:pt idx="7">
                  <c:v>63.5</c:v>
                </c:pt>
                <c:pt idx="8">
                  <c:v>72</c:v>
                </c:pt>
                <c:pt idx="9">
                  <c:v>80.5</c:v>
                </c:pt>
                <c:pt idx="10">
                  <c:v>89</c:v>
                </c:pt>
                <c:pt idx="11">
                  <c:v>97.5</c:v>
                </c:pt>
                <c:pt idx="12">
                  <c:v>106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7596164"/>
        <c:axId val="12750966"/>
      </c:lineChart>
      <c:catAx>
        <c:axId val="780963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45382"/>
        <c:crosses val="autoZero"/>
        <c:auto val="1"/>
        <c:lblAlgn val="ctr"/>
        <c:lblOffset val="100"/>
        <c:noMultiLvlLbl val="0"/>
      </c:catAx>
      <c:valAx>
        <c:axId val="974538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月間アポ数（件）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096313"/>
        <c:crosses val="autoZero"/>
        <c:crossBetween val="between"/>
      </c:valAx>
      <c:catAx>
        <c:axId val="3759616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50966"/>
        <c:crosses val="autoZero"/>
        <c:auto val="1"/>
        <c:lblAlgn val="ctr"/>
        <c:lblOffset val="100"/>
        <c:noMultiLvlLbl val="0"/>
      </c:catAx>
      <c:valAx>
        <c:axId val="12750966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累計アポ数（件）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59616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チャネル別アポ構成比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"アポ獲得数"</c:f>
              <c:strCache>
                <c:ptCount val="1"/>
                <c:pt idx="0">
                  <c:v>アポ獲得数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e8878c"/>
              </a:solidFill>
              <a:ln w="0">
                <a:noFill/>
              </a:ln>
            </c:spPr>
          </c:dPt>
          <c:dPt>
            <c:idx val="1"/>
            <c:spPr>
              <a:solidFill>
                <a:srgbClr val="6bbf7a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シミュレーション!$Q$17:$Q$18</c:f>
              <c:strCache>
                <c:ptCount val="2"/>
                <c:pt idx="0">
                  <c:v>テストマーケティング</c:v>
                </c:pt>
                <c:pt idx="1">
                  <c:v>オートフォーム</c:v>
                </c:pt>
              </c:strCache>
            </c:strRef>
          </c:cat>
          <c:val>
            <c:numRef>
              <c:f>シミュレーション!$R$17:$R$18</c:f>
              <c:numCache>
                <c:formatCode>#,##0.0;\-#,##0.0;\-</c:formatCode>
                <c:ptCount val="2"/>
                <c:pt idx="0">
                  <c:v>54</c:v>
                </c:pt>
                <c:pt idx="1">
                  <c:v>52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134640</xdr:rowOff>
    </xdr:from>
    <xdr:to>
      <xdr:col>7</xdr:col>
      <xdr:colOff>238680</xdr:colOff>
      <xdr:row>48</xdr:row>
      <xdr:rowOff>125280</xdr:rowOff>
    </xdr:to>
    <xdr:graphicFrame>
      <xdr:nvGraphicFramePr>
        <xdr:cNvPr id="0" name="Chart 1"/>
        <xdr:cNvGraphicFramePr/>
      </xdr:nvGraphicFramePr>
      <xdr:xfrm>
        <a:off x="0" y="7143840"/>
        <a:ext cx="86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30</xdr:row>
      <xdr:rowOff>134640</xdr:rowOff>
    </xdr:from>
    <xdr:to>
      <xdr:col>12</xdr:col>
      <xdr:colOff>401400</xdr:colOff>
      <xdr:row>48</xdr:row>
      <xdr:rowOff>125280</xdr:rowOff>
    </xdr:to>
    <xdr:graphicFrame>
      <xdr:nvGraphicFramePr>
        <xdr:cNvPr id="1" name="Chart 2"/>
        <xdr:cNvGraphicFramePr/>
      </xdr:nvGraphicFramePr>
      <xdr:xfrm>
        <a:off x="9245520" y="7143840"/>
        <a:ext cx="377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4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15" min="3" style="0" width="9.5"/>
    <col collapsed="false" customWidth="true" hidden="false" outlineLevel="0" max="16" min="16" style="0" width="2"/>
    <col collapsed="false" customWidth="true" hidden="false" outlineLevel="0" max="17" min="17" style="0" width="18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3.75" hidden="false" customHeight="true" outlineLevel="0" collapsed="false">
      <c r="A2" s="2" t="s">
        <v>0</v>
      </c>
    </row>
    <row r="3" customFormat="false" ht="19.4" hidden="false" customHeight="false" outlineLevel="0" collapsed="false">
      <c r="A3" s="3" t="s">
        <v>1</v>
      </c>
      <c r="O3" s="4" t="s">
        <v>2</v>
      </c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6" customFormat="false" ht="15" hidden="false" customHeight="false" outlineLevel="0" collapsed="false">
      <c r="A6" s="6" t="s">
        <v>3</v>
      </c>
    </row>
    <row r="7" customFormat="false" ht="15" hidden="false" customHeight="true" outlineLevel="0" collapsed="false">
      <c r="A7" s="7" t="s">
        <v>4</v>
      </c>
      <c r="B7" s="7" t="s">
        <v>5</v>
      </c>
      <c r="C7" s="8" t="s">
        <v>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customFormat="false" ht="15" hidden="false" customHeight="true" outlineLevel="0" collapsed="false">
      <c r="A8" s="9" t="s">
        <v>7</v>
      </c>
      <c r="B8" s="10" t="n">
        <v>0.009</v>
      </c>
      <c r="C8" s="11" t="s">
        <v>8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customFormat="false" ht="15" hidden="false" customHeight="true" outlineLevel="0" collapsed="false">
      <c r="A9" s="9" t="s">
        <v>9</v>
      </c>
      <c r="B9" s="10" t="n">
        <v>0.4</v>
      </c>
      <c r="C9" s="11" t="s">
        <v>10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customFormat="false" ht="15" hidden="false" customHeight="true" outlineLevel="0" collapsed="false">
      <c r="A10" s="9" t="s">
        <v>11</v>
      </c>
      <c r="B10" s="10" t="n">
        <v>0.001</v>
      </c>
      <c r="C10" s="11" t="s">
        <v>12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customFormat="false" ht="15" hidden="false" customHeight="false" outlineLevel="0" collapsed="false">
      <c r="A11" s="12" t="s">
        <v>13</v>
      </c>
    </row>
    <row r="13" customFormat="false" ht="15" hidden="false" customHeight="false" outlineLevel="0" collapsed="false">
      <c r="A13" s="6" t="s">
        <v>14</v>
      </c>
    </row>
    <row r="14" customFormat="false" ht="24" hidden="false" customHeight="true" outlineLevel="0" collapsed="false">
      <c r="A14" s="13" t="s">
        <v>15</v>
      </c>
      <c r="B14" s="13" t="s">
        <v>16</v>
      </c>
      <c r="C14" s="14" t="s">
        <v>17</v>
      </c>
      <c r="D14" s="14" t="s">
        <v>18</v>
      </c>
      <c r="E14" s="14" t="s">
        <v>19</v>
      </c>
      <c r="F14" s="14" t="s">
        <v>20</v>
      </c>
      <c r="G14" s="14" t="s">
        <v>21</v>
      </c>
      <c r="H14" s="14" t="s">
        <v>22</v>
      </c>
      <c r="I14" s="14" t="s">
        <v>23</v>
      </c>
      <c r="J14" s="14" t="s">
        <v>24</v>
      </c>
      <c r="K14" s="14" t="s">
        <v>25</v>
      </c>
      <c r="L14" s="14" t="s">
        <v>26</v>
      </c>
      <c r="M14" s="14" t="s">
        <v>27</v>
      </c>
      <c r="N14" s="14" t="s">
        <v>28</v>
      </c>
      <c r="O14" s="14" t="s">
        <v>29</v>
      </c>
    </row>
    <row r="15" customFormat="false" ht="15" hidden="false" customHeight="true" outlineLevel="0" collapsed="false">
      <c r="A15" s="15" t="s">
        <v>30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customFormat="false" ht="21.75" hidden="false" customHeight="true" outlineLevel="0" collapsed="false">
      <c r="A16" s="16" t="s">
        <v>31</v>
      </c>
      <c r="B16" s="17" t="n">
        <f aca="false">SUM(C16:O16)</f>
        <v>6000</v>
      </c>
      <c r="C16" s="18" t="n">
        <v>0</v>
      </c>
      <c r="D16" s="18" t="n">
        <v>500</v>
      </c>
      <c r="E16" s="18" t="n">
        <v>500</v>
      </c>
      <c r="F16" s="18" t="n">
        <v>500</v>
      </c>
      <c r="G16" s="18" t="n">
        <v>500</v>
      </c>
      <c r="H16" s="18" t="n">
        <v>500</v>
      </c>
      <c r="I16" s="18" t="n">
        <v>500</v>
      </c>
      <c r="J16" s="18" t="n">
        <v>500</v>
      </c>
      <c r="K16" s="18" t="n">
        <v>500</v>
      </c>
      <c r="L16" s="18" t="n">
        <v>500</v>
      </c>
      <c r="M16" s="18" t="n">
        <v>500</v>
      </c>
      <c r="N16" s="18" t="n">
        <v>500</v>
      </c>
      <c r="O16" s="18" t="n">
        <v>500</v>
      </c>
      <c r="Q16" s="19" t="s">
        <v>32</v>
      </c>
    </row>
    <row r="17" customFormat="false" ht="21.75" hidden="false" customHeight="true" outlineLevel="0" collapsed="false">
      <c r="A17" s="16" t="s">
        <v>33</v>
      </c>
      <c r="B17" s="20" t="n">
        <f aca="false">SUM(C17:O17)</f>
        <v>54</v>
      </c>
      <c r="C17" s="21" t="n">
        <f aca="false">C16*$B$8</f>
        <v>0</v>
      </c>
      <c r="D17" s="21" t="n">
        <f aca="false">D16*$B$8</f>
        <v>4.5</v>
      </c>
      <c r="E17" s="21" t="n">
        <f aca="false">E16*$B$8</f>
        <v>4.5</v>
      </c>
      <c r="F17" s="21" t="n">
        <f aca="false">F16*$B$8</f>
        <v>4.5</v>
      </c>
      <c r="G17" s="21" t="n">
        <f aca="false">G16*$B$8</f>
        <v>4.5</v>
      </c>
      <c r="H17" s="21" t="n">
        <f aca="false">H16*$B$8</f>
        <v>4.5</v>
      </c>
      <c r="I17" s="21" t="n">
        <f aca="false">I16*$B$8</f>
        <v>4.5</v>
      </c>
      <c r="J17" s="21" t="n">
        <f aca="false">J16*$B$8</f>
        <v>4.5</v>
      </c>
      <c r="K17" s="21" t="n">
        <f aca="false">K16*$B$8</f>
        <v>4.5</v>
      </c>
      <c r="L17" s="21" t="n">
        <f aca="false">L16*$B$8</f>
        <v>4.5</v>
      </c>
      <c r="M17" s="21" t="n">
        <f aca="false">M16*$B$8</f>
        <v>4.5</v>
      </c>
      <c r="N17" s="21" t="n">
        <f aca="false">N16*$B$8</f>
        <v>4.5</v>
      </c>
      <c r="O17" s="21" t="n">
        <f aca="false">O16*$B$8</f>
        <v>4.5</v>
      </c>
      <c r="Q17" s="19" t="s">
        <v>34</v>
      </c>
      <c r="R17" s="22" t="n">
        <f aca="false">B17</f>
        <v>54</v>
      </c>
    </row>
    <row r="18" customFormat="false" ht="15" hidden="false" customHeight="true" outlineLevel="0" collapsed="false">
      <c r="A18" s="23" t="s">
        <v>35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Q18" s="19" t="s">
        <v>36</v>
      </c>
      <c r="R18" s="22" t="n">
        <f aca="false">B21</f>
        <v>52</v>
      </c>
    </row>
    <row r="19" customFormat="false" ht="21.75" hidden="false" customHeight="true" outlineLevel="0" collapsed="false">
      <c r="A19" s="16" t="s">
        <v>37</v>
      </c>
      <c r="B19" s="17" t="n">
        <f aca="false">SUM(C19:O19)</f>
        <v>130000</v>
      </c>
      <c r="C19" s="18" t="n">
        <v>10000</v>
      </c>
      <c r="D19" s="18" t="n">
        <v>10000</v>
      </c>
      <c r="E19" s="18" t="n">
        <v>10000</v>
      </c>
      <c r="F19" s="18" t="n">
        <v>10000</v>
      </c>
      <c r="G19" s="18" t="n">
        <v>10000</v>
      </c>
      <c r="H19" s="18" t="n">
        <v>10000</v>
      </c>
      <c r="I19" s="18" t="n">
        <v>10000</v>
      </c>
      <c r="J19" s="18" t="n">
        <v>10000</v>
      </c>
      <c r="K19" s="18" t="n">
        <v>10000</v>
      </c>
      <c r="L19" s="18" t="n">
        <v>10000</v>
      </c>
      <c r="M19" s="18" t="n">
        <v>10000</v>
      </c>
      <c r="N19" s="18" t="n">
        <v>10000</v>
      </c>
      <c r="O19" s="18" t="n">
        <v>10000</v>
      </c>
    </row>
    <row r="20" customFormat="false" ht="21.75" hidden="false" customHeight="true" outlineLevel="0" collapsed="false">
      <c r="A20" s="16" t="s">
        <v>38</v>
      </c>
      <c r="B20" s="17" t="n">
        <f aca="false">SUM(C20:O20)</f>
        <v>52000</v>
      </c>
      <c r="C20" s="24" t="n">
        <f aca="false">C19*$B$9</f>
        <v>4000</v>
      </c>
      <c r="D20" s="24" t="n">
        <f aca="false">D19*$B$9</f>
        <v>4000</v>
      </c>
      <c r="E20" s="24" t="n">
        <f aca="false">E19*$B$9</f>
        <v>4000</v>
      </c>
      <c r="F20" s="24" t="n">
        <f aca="false">F19*$B$9</f>
        <v>4000</v>
      </c>
      <c r="G20" s="24" t="n">
        <f aca="false">G19*$B$9</f>
        <v>4000</v>
      </c>
      <c r="H20" s="24" t="n">
        <f aca="false">H19*$B$9</f>
        <v>4000</v>
      </c>
      <c r="I20" s="24" t="n">
        <f aca="false">I19*$B$9</f>
        <v>4000</v>
      </c>
      <c r="J20" s="24" t="n">
        <f aca="false">J19*$B$9</f>
        <v>4000</v>
      </c>
      <c r="K20" s="24" t="n">
        <f aca="false">K19*$B$9</f>
        <v>4000</v>
      </c>
      <c r="L20" s="24" t="n">
        <f aca="false">L19*$B$9</f>
        <v>4000</v>
      </c>
      <c r="M20" s="24" t="n">
        <f aca="false">M19*$B$9</f>
        <v>4000</v>
      </c>
      <c r="N20" s="24" t="n">
        <f aca="false">N19*$B$9</f>
        <v>4000</v>
      </c>
      <c r="O20" s="24" t="n">
        <f aca="false">O19*$B$9</f>
        <v>4000</v>
      </c>
    </row>
    <row r="21" customFormat="false" ht="21.75" hidden="false" customHeight="true" outlineLevel="0" collapsed="false">
      <c r="A21" s="16" t="s">
        <v>33</v>
      </c>
      <c r="B21" s="20" t="n">
        <f aca="false">SUM(C21:O21)</f>
        <v>52</v>
      </c>
      <c r="C21" s="21" t="n">
        <f aca="false">C20*$B$10</f>
        <v>4</v>
      </c>
      <c r="D21" s="21" t="n">
        <f aca="false">D20*$B$10</f>
        <v>4</v>
      </c>
      <c r="E21" s="21" t="n">
        <f aca="false">E20*$B$10</f>
        <v>4</v>
      </c>
      <c r="F21" s="21" t="n">
        <f aca="false">F20*$B$10</f>
        <v>4</v>
      </c>
      <c r="G21" s="21" t="n">
        <f aca="false">G20*$B$10</f>
        <v>4</v>
      </c>
      <c r="H21" s="21" t="n">
        <f aca="false">H20*$B$10</f>
        <v>4</v>
      </c>
      <c r="I21" s="21" t="n">
        <f aca="false">I20*$B$10</f>
        <v>4</v>
      </c>
      <c r="J21" s="21" t="n">
        <f aca="false">J20*$B$10</f>
        <v>4</v>
      </c>
      <c r="K21" s="21" t="n">
        <f aca="false">K20*$B$10</f>
        <v>4</v>
      </c>
      <c r="L21" s="21" t="n">
        <f aca="false">L20*$B$10</f>
        <v>4</v>
      </c>
      <c r="M21" s="21" t="n">
        <f aca="false">M20*$B$10</f>
        <v>4</v>
      </c>
      <c r="N21" s="21" t="n">
        <f aca="false">N20*$B$10</f>
        <v>4</v>
      </c>
      <c r="O21" s="21" t="n">
        <f aca="false">O20*$B$10</f>
        <v>4</v>
      </c>
    </row>
    <row r="22" customFormat="false" ht="15" hidden="false" customHeight="true" outlineLevel="0" collapsed="false">
      <c r="A22" s="25" t="s">
        <v>39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customFormat="false" ht="21.75" hidden="false" customHeight="true" outlineLevel="0" collapsed="false">
      <c r="A23" s="26" t="s">
        <v>40</v>
      </c>
      <c r="B23" s="20" t="n">
        <f aca="false">SUM(C23:O23)</f>
        <v>106</v>
      </c>
      <c r="C23" s="27" t="n">
        <f aca="false">C17+C21</f>
        <v>4</v>
      </c>
      <c r="D23" s="27" t="n">
        <f aca="false">D17+D21</f>
        <v>8.5</v>
      </c>
      <c r="E23" s="27" t="n">
        <f aca="false">E17+E21</f>
        <v>8.5</v>
      </c>
      <c r="F23" s="27" t="n">
        <f aca="false">F17+F21</f>
        <v>8.5</v>
      </c>
      <c r="G23" s="27" t="n">
        <f aca="false">G17+G21</f>
        <v>8.5</v>
      </c>
      <c r="H23" s="27" t="n">
        <f aca="false">H17+H21</f>
        <v>8.5</v>
      </c>
      <c r="I23" s="27" t="n">
        <f aca="false">I17+I21</f>
        <v>8.5</v>
      </c>
      <c r="J23" s="27" t="n">
        <f aca="false">J17+J21</f>
        <v>8.5</v>
      </c>
      <c r="K23" s="27" t="n">
        <f aca="false">K17+K21</f>
        <v>8.5</v>
      </c>
      <c r="L23" s="27" t="n">
        <f aca="false">L17+L21</f>
        <v>8.5</v>
      </c>
      <c r="M23" s="27" t="n">
        <f aca="false">M17+M21</f>
        <v>8.5</v>
      </c>
      <c r="N23" s="27" t="n">
        <f aca="false">N17+N21</f>
        <v>8.5</v>
      </c>
      <c r="O23" s="27" t="n">
        <f aca="false">O17+O21</f>
        <v>8.5</v>
      </c>
    </row>
    <row r="24" customFormat="false" ht="21.75" hidden="false" customHeight="true" outlineLevel="0" collapsed="false">
      <c r="A24" s="16" t="s">
        <v>41</v>
      </c>
      <c r="B24" s="20" t="n">
        <f aca="false">O24</f>
        <v>106</v>
      </c>
      <c r="C24" s="21" t="n">
        <f aca="false">SUM($C$23:C23)</f>
        <v>4</v>
      </c>
      <c r="D24" s="21" t="n">
        <f aca="false">SUM($C$23:D23)</f>
        <v>12.5</v>
      </c>
      <c r="E24" s="21" t="n">
        <f aca="false">SUM($C$23:E23)</f>
        <v>21</v>
      </c>
      <c r="F24" s="21" t="n">
        <f aca="false">SUM($C$23:F23)</f>
        <v>29.5</v>
      </c>
      <c r="G24" s="21" t="n">
        <f aca="false">SUM($C$23:G23)</f>
        <v>38</v>
      </c>
      <c r="H24" s="21" t="n">
        <f aca="false">SUM($C$23:H23)</f>
        <v>46.5</v>
      </c>
      <c r="I24" s="21" t="n">
        <f aca="false">SUM($C$23:I23)</f>
        <v>55</v>
      </c>
      <c r="J24" s="21" t="n">
        <f aca="false">SUM($C$23:J23)</f>
        <v>63.5</v>
      </c>
      <c r="K24" s="21" t="n">
        <f aca="false">SUM($C$23:K23)</f>
        <v>72</v>
      </c>
      <c r="L24" s="21" t="n">
        <f aca="false">SUM($C$23:L23)</f>
        <v>80.5</v>
      </c>
      <c r="M24" s="21" t="n">
        <f aca="false">SUM($C$23:M23)</f>
        <v>89</v>
      </c>
      <c r="N24" s="21" t="n">
        <f aca="false">SUM($C$23:N23)</f>
        <v>97.5</v>
      </c>
      <c r="O24" s="21" t="n">
        <f aca="false">SUM($C$23:O23)</f>
        <v>106</v>
      </c>
    </row>
    <row r="25" customFormat="false" ht="15" hidden="false" customHeight="false" outlineLevel="0" collapsed="false">
      <c r="A25" s="28" t="s">
        <v>42</v>
      </c>
    </row>
    <row r="27" customFormat="false" ht="15" hidden="false" customHeight="false" outlineLevel="0" collapsed="false">
      <c r="A27" s="6" t="s">
        <v>43</v>
      </c>
    </row>
    <row r="28" customFormat="false" ht="21.75" hidden="false" customHeight="true" outlineLevel="0" collapsed="false">
      <c r="A28" s="29" t="s">
        <v>44</v>
      </c>
      <c r="B28" s="30" t="s">
        <v>45</v>
      </c>
      <c r="C28" s="30"/>
      <c r="D28" s="30"/>
      <c r="E28" s="30" t="s">
        <v>46</v>
      </c>
      <c r="F28" s="30"/>
      <c r="G28" s="30"/>
      <c r="H28" s="30"/>
      <c r="I28" s="30" t="s">
        <v>47</v>
      </c>
      <c r="J28" s="30"/>
      <c r="K28" s="30"/>
      <c r="L28" s="30"/>
      <c r="M28" s="30" t="s">
        <v>48</v>
      </c>
      <c r="N28" s="30"/>
      <c r="O28" s="30"/>
    </row>
    <row r="29" customFormat="false" ht="39.75" hidden="false" customHeight="true" outlineLevel="0" collapsed="false">
      <c r="A29" s="31" t="n">
        <f aca="false">B23</f>
        <v>106</v>
      </c>
      <c r="B29" s="32" t="n">
        <f aca="false">B23/13</f>
        <v>8.15384615384615</v>
      </c>
      <c r="C29" s="32"/>
      <c r="D29" s="32"/>
      <c r="E29" s="31" t="n">
        <f aca="false">B16+B19</f>
        <v>136000</v>
      </c>
      <c r="F29" s="31"/>
      <c r="G29" s="31"/>
      <c r="H29" s="31"/>
      <c r="I29" s="33" t="n">
        <f aca="false">B17</f>
        <v>54</v>
      </c>
      <c r="J29" s="33"/>
      <c r="K29" s="33"/>
      <c r="L29" s="33"/>
      <c r="M29" s="33" t="n">
        <f aca="false">B21</f>
        <v>52</v>
      </c>
      <c r="N29" s="33"/>
      <c r="O29" s="33"/>
    </row>
    <row r="31" customFormat="false" ht="15" hidden="false" customHeight="false" outlineLevel="0" collapsed="false">
      <c r="A31" s="6" t="s">
        <v>49</v>
      </c>
    </row>
  </sheetData>
  <mergeCells count="16">
    <mergeCell ref="A1:O1"/>
    <mergeCell ref="C7:O7"/>
    <mergeCell ref="C8:O8"/>
    <mergeCell ref="C9:O9"/>
    <mergeCell ref="C10:O10"/>
    <mergeCell ref="A15:O15"/>
    <mergeCell ref="A18:O18"/>
    <mergeCell ref="A22:O22"/>
    <mergeCell ref="B28:D28"/>
    <mergeCell ref="E28:H28"/>
    <mergeCell ref="I28:L28"/>
    <mergeCell ref="M28:O28"/>
    <mergeCell ref="B29:D29"/>
    <mergeCell ref="E29:H29"/>
    <mergeCell ref="I29:L29"/>
    <mergeCell ref="M29:O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2026-09-25T01:49:14Z</dcterms:created>
  <dc:creator>openpyxl</dc:creator>
  <dc:description/>
  <dc:language>en-US</dc:language>
  <cp:lastModifiedBy/>
  <dcterms:modified xsi:type="dcterms:W3CDTF">2026-09-25T01:49:16Z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