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" sheetId="1" state="visible" r:id="rId1"/>
    <sheet name="設定" sheetId="2" state="visible" r:id="rId2"/>
    <sheet name="実績入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/d"/>
    <numFmt numFmtId="166" formatCode="yyyy/m/d(aaa)"/>
    <numFmt numFmtId="167" formatCode="0.0%"/>
  </numFmts>
  <fonts count="12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11"/>
    </font>
    <font>
      <name val="Meiryo UI"/>
      <color rgb="000000FF"/>
      <sz val="11"/>
    </font>
    <font>
      <name val="Meiryo UI"/>
      <color rgb="00808080"/>
      <sz val="10"/>
    </font>
    <font>
      <name val="Meiryo UI"/>
      <sz val="11"/>
    </font>
    <font>
      <name val="Meiryo UI"/>
      <b val="1"/>
      <color rgb="00FFFFFF"/>
      <sz val="10"/>
    </font>
    <font>
      <name val="Meiryo UI"/>
      <color rgb="00808080"/>
      <sz val="9"/>
    </font>
    <font>
      <name val="Meiryo UI"/>
      <b val="1"/>
      <color rgb="001F4E78"/>
      <sz val="11"/>
    </font>
    <font>
      <name val="Meiryo UI"/>
      <sz val="10"/>
    </font>
    <font>
      <name val="Meiryo UI"/>
      <b val="1"/>
      <color rgb="00808080"/>
      <sz val="9"/>
    </font>
    <font>
      <name val="Meiryo U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EAF3E8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0AD47"/>
      </left>
      <right style="medium">
        <color rgb="0070AD47"/>
      </right>
    </border>
    <border>
      <left style="medium">
        <color rgb="0070AD47"/>
      </left>
      <right style="medium">
        <color rgb="0070AD47"/>
      </right>
      <top style="medium">
        <color rgb="0070AD47"/>
      </top>
    </border>
    <border>
      <left style="medium">
        <color rgb="0070AD47"/>
      </left>
      <right style="medium">
        <color rgb="0070AD47"/>
      </right>
      <bottom style="medium">
        <color rgb="0070AD4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6" fontId="5" fillId="2" borderId="1" pivotButton="0" quotePrefix="0" xfId="0"/>
    <xf numFmtId="0" fontId="7" fillId="0" borderId="0" pivotButton="0" quotePrefix="0" xfId="0"/>
    <xf numFmtId="0" fontId="5" fillId="5" borderId="3" pivotButton="0" quotePrefix="0" xfId="0"/>
    <xf numFmtId="0" fontId="5" fillId="5" borderId="2" pivotButton="0" quotePrefix="0" xfId="0"/>
    <xf numFmtId="0" fontId="8" fillId="0" borderId="0" pivotButton="0" quotePrefix="0" xfId="0"/>
    <xf numFmtId="0" fontId="6" fillId="3" borderId="1" applyAlignment="1" pivotButton="0" quotePrefix="0" xfId="0">
      <alignment horizontal="center"/>
    </xf>
    <xf numFmtId="0" fontId="3" fillId="2" borderId="1" pivotButton="0" quotePrefix="0" xfId="0"/>
    <xf numFmtId="3" fontId="3" fillId="2" borderId="1" pivotButton="0" quotePrefix="0" xfId="0"/>
    <xf numFmtId="0" fontId="9" fillId="0" borderId="0" pivotButton="0" quotePrefix="0" xfId="0"/>
    <xf numFmtId="0" fontId="5" fillId="5" borderId="4" pivotButton="0" quotePrefix="0" xfId="0"/>
    <xf numFmtId="0" fontId="4" fillId="0" borderId="0" pivotButton="0" quotePrefix="0" xfId="0"/>
    <xf numFmtId="165" fontId="3" fillId="2" borderId="1" pivotButton="0" quotePrefix="0" xfId="0"/>
    <xf numFmtId="0" fontId="5" fillId="0" borderId="1" pivotButton="0" quotePrefix="0" xfId="0"/>
    <xf numFmtId="165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166" fontId="3" fillId="2" borderId="1" pivotButton="0" quotePrefix="0" xfId="0"/>
    <xf numFmtId="0" fontId="5" fillId="4" borderId="1" pivotButton="0" quotePrefix="0" xfId="0"/>
    <xf numFmtId="167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" customWidth="1" min="4" max="4"/>
    <col width="3" customWidth="1" min="5" max="5"/>
    <col width="3" customWidth="1" min="6" max="6"/>
    <col width="48" customWidth="1" min="7" max="7"/>
    <col width="16" customWidth="1" min="9" max="9"/>
    <col width="12" customWidth="1" min="10" max="10"/>
    <col width="36" customWidth="1" min="12" max="12"/>
    <col width="5" customWidth="1" min="13" max="13"/>
  </cols>
  <sheetData>
    <row r="1">
      <c r="A1" s="1" t="inlineStr">
        <is>
          <t>日報（右の緑枠をコピーして課長に送る）</t>
        </is>
      </c>
    </row>
    <row r="2">
      <c r="G2" s="2" t="inlineStr">
        <is>
          <t>▼ ここをコピー（G3〜G53）</t>
        </is>
      </c>
      <c r="I2" s="3" t="inlineStr">
        <is>
          <t>集計（自動・触らない）</t>
        </is>
      </c>
      <c r="L2" s="3" t="inlineStr">
        <is>
          <t>ヨミ一覧（自動）</t>
        </is>
      </c>
    </row>
    <row r="3">
      <c r="A3" s="4" t="inlineStr">
        <is>
          <t>報告日</t>
        </is>
      </c>
      <c r="B3" s="5">
        <f>MAX(実績入力!A5:A204)</f>
        <v/>
      </c>
      <c r="C3" s="6" t="inlineStr">
        <is>
          <t>← 自動で最新の入力日。別の日を出すときは日付を上書き</t>
        </is>
      </c>
      <c r="G3" s="7">
        <f>TEXT($B$3,"m/d")</f>
        <v/>
      </c>
      <c r="I3" s="6" t="inlineStr">
        <is>
          <t>経過営業日</t>
        </is>
      </c>
      <c r="J3" s="6">
        <f>IF(ISNUMBER(設定!B8),設定!B8,NETWORKDAYS(設定!B5,$B$3,設定!$A$14:$A$60))</f>
        <v/>
      </c>
      <c r="L3" s="6">
        <f>設定!B4</f>
        <v/>
      </c>
      <c r="M3" s="6">
        <f>IF(L3="",0,1)</f>
        <v/>
      </c>
    </row>
    <row r="4">
      <c r="G4" s="8">
        <f>"【"&amp;設定!B2&amp;"】"</f>
        <v/>
      </c>
      <c r="I4" s="6" t="inlineStr">
        <is>
          <t>自アポ目標</t>
        </is>
      </c>
      <c r="J4" s="6">
        <f>設定!B7</f>
        <v/>
      </c>
      <c r="L4" s="6">
        <f>IF(B8="","",設定!$B$3&amp;"："&amp;A8&amp;B8&amp;IF(C8="","","　¥"&amp;TEXT(C8,"#,##0")))</f>
        <v/>
      </c>
      <c r="M4" s="6">
        <f>M3+IF(L4="",0,1)</f>
        <v/>
      </c>
    </row>
    <row r="5">
      <c r="A5" s="4" t="inlineStr">
        <is>
          <t>今日読める案件（ヨミ）</t>
        </is>
      </c>
      <c r="G5" s="8" t="inlineStr">
        <is>
          <t>自アポ</t>
        </is>
      </c>
      <c r="I5" s="6" t="inlineStr">
        <is>
          <t>自アポ実績（累計）</t>
        </is>
      </c>
      <c r="J5" s="6">
        <f>SUMIFS(実績入力!$B$5:$B$204,実績入力!$A$5:$A$204,"&gt;="&amp;設定!$B$5,実績入力!$A$5:$A$204,"&lt;="&amp;$B$3)</f>
        <v/>
      </c>
      <c r="L5" s="6">
        <f>IF(B9="","",設定!$B$3&amp;"："&amp;A9&amp;B9&amp;IF(C9="","","　¥"&amp;TEXT(C9,"#,##0")))</f>
        <v/>
      </c>
      <c r="M5" s="6">
        <f>M4+IF(L5="",0,1)</f>
        <v/>
      </c>
    </row>
    <row r="6">
      <c r="A6" s="9">
        <f>設定!B4</f>
        <v/>
      </c>
      <c r="G6" s="8">
        <f>"目標/実績/今日までの乖離（"&amp;J3&amp;"営業日）"</f>
        <v/>
      </c>
      <c r="I6" s="6" t="inlineStr">
        <is>
          <t>今日までの目標</t>
        </is>
      </c>
      <c r="J6" s="6">
        <f>IF(設定!B9=0,0,J3*J4/設定!B9)</f>
        <v/>
      </c>
      <c r="L6" s="6">
        <f>IF(B10="","",設定!$B$3&amp;"："&amp;A10&amp;B10&amp;IF(C10="","","　¥"&amp;TEXT(C10,"#,##0")))</f>
        <v/>
      </c>
      <c r="M6" s="6">
        <f>M5+IF(L6="",0,1)</f>
        <v/>
      </c>
    </row>
    <row r="7">
      <c r="A7" s="10" t="inlineStr">
        <is>
          <t>ランク</t>
        </is>
      </c>
      <c r="B7" s="10" t="inlineStr">
        <is>
          <t>会社名</t>
        </is>
      </c>
      <c r="C7" s="10" t="inlineStr">
        <is>
          <t>金額（円）</t>
        </is>
      </c>
      <c r="G7" s="8">
        <f>J4&amp;"/"&amp;J5&amp;"/"&amp;IF(J7&gt;0,"+","")&amp;J7</f>
        <v/>
      </c>
      <c r="I7" s="6" t="inlineStr">
        <is>
          <t>乖離</t>
        </is>
      </c>
      <c r="J7" s="6">
        <f>ROUND(J5-J6,1)</f>
        <v/>
      </c>
      <c r="L7" s="6">
        <f>IF(B11="","",設定!$B$3&amp;"："&amp;A11&amp;B11&amp;IF(C11="","","　¥"&amp;TEXT(C11,"#,##0")))</f>
        <v/>
      </c>
      <c r="M7" s="6">
        <f>M6+IF(L7="",0,1)</f>
        <v/>
      </c>
    </row>
    <row r="8">
      <c r="A8" s="11" t="inlineStr">
        <is>
          <t>▲</t>
        </is>
      </c>
      <c r="B8" s="11" t="inlineStr">
        <is>
          <t>株式会社サンプル</t>
        </is>
      </c>
      <c r="C8" s="12" t="n">
        <v>500000</v>
      </c>
      <c r="G8" s="8" t="n"/>
      <c r="I8" s="6" t="inlineStr">
        <is>
          <t>日次訪問数</t>
        </is>
      </c>
      <c r="J8" s="6">
        <f>SUMIFS(実績入力!$C$5:$C$204,実績入力!$A$5:$A$204,$B$3)+SUMIFS(実績入力!$D$5:$D$204,実績入力!$A$5:$A$204,$B$3)+SUMIFS(実績入力!$E$5:$E$204,実績入力!$A$5:$A$204,$B$3)</f>
        <v/>
      </c>
      <c r="L8" s="6">
        <f>IF(B12="","",設定!$B$3&amp;"："&amp;A12&amp;B12&amp;IF(C12="","","　¥"&amp;TEXT(C12,"#,##0")))</f>
        <v/>
      </c>
      <c r="M8" s="6">
        <f>M7+IF(L8="",0,1)</f>
        <v/>
      </c>
    </row>
    <row r="9">
      <c r="A9" s="11" t="n"/>
      <c r="B9" s="11" t="n"/>
      <c r="C9" s="12" t="n"/>
      <c r="G9" s="8" t="n"/>
      <c r="I9" s="6" t="inlineStr">
        <is>
          <t>累計訪問数</t>
        </is>
      </c>
      <c r="J9" s="6">
        <f>SUMIFS(実績入力!$C$5:$C$204,実績入力!$A$5:$A$204,"&gt;="&amp;設定!$B$5,実績入力!$A$5:$A$204,"&lt;="&amp;$B$3)+SUMIFS(実績入力!$D$5:$D$204,実績入力!$A$5:$A$204,"&gt;="&amp;設定!$B$5,実績入力!$A$5:$A$204,"&lt;="&amp;$B$3)+SUMIFS(実績入力!$E$5:$E$204,実績入力!$A$5:$A$204,"&gt;="&amp;設定!$B$5,実績入力!$A$5:$A$204,"&lt;="&amp;$B$3)</f>
        <v/>
      </c>
      <c r="L9" s="6">
        <f>IF(B13="","",設定!$B$3&amp;"："&amp;A13&amp;B13&amp;IF(C13="","","　¥"&amp;TEXT(C13,"#,##0")))</f>
        <v/>
      </c>
      <c r="M9" s="6">
        <f>M8+IF(L9="",0,1)</f>
        <v/>
      </c>
    </row>
    <row r="10">
      <c r="A10" s="11" t="n"/>
      <c r="B10" s="11" t="n"/>
      <c r="C10" s="12" t="n"/>
      <c r="G10" s="8" t="inlineStr">
        <is>
          <t>日次訪問数（新規＋提案＋クロ）</t>
        </is>
      </c>
      <c r="I10" s="6" t="inlineStr">
        <is>
          <t>日次新規訪問</t>
        </is>
      </c>
      <c r="J10" s="6">
        <f>SUMIFS(実績入力!$C$5:$C$204,実績入力!$A$5:$A$204,$B$3)</f>
        <v/>
      </c>
      <c r="L10" s="6">
        <f>設定!B10</f>
        <v/>
      </c>
      <c r="M10" s="6">
        <f>M9+IF(L10="",0,1)</f>
        <v/>
      </c>
    </row>
    <row r="11">
      <c r="A11" s="11" t="n"/>
      <c r="B11" s="11" t="n"/>
      <c r="C11" s="12" t="n"/>
      <c r="G11" s="8">
        <f>J8&amp;"件"</f>
        <v/>
      </c>
      <c r="I11" s="6" t="inlineStr">
        <is>
          <t>日次有効提案</t>
        </is>
      </c>
      <c r="J11" s="6">
        <f>SUMIFS(実績入力!$G$5:$G$204,実績入力!$A$5:$A$204,$B$3)</f>
        <v/>
      </c>
      <c r="L11" s="6">
        <f>IF(B17="","",設定!$B$3&amp;"："&amp;A17&amp;B17&amp;IF(C17="","","　¥"&amp;TEXT(C17,"#,##0")))</f>
        <v/>
      </c>
      <c r="M11" s="6">
        <f>M10+IF(L11="",0,1)</f>
        <v/>
      </c>
    </row>
    <row r="12">
      <c r="A12" s="11" t="n"/>
      <c r="B12" s="11" t="n"/>
      <c r="C12" s="12" t="n"/>
      <c r="G12" s="8" t="inlineStr">
        <is>
          <t>累計訪問数（新規＋提案＋クロ）</t>
        </is>
      </c>
      <c r="I12" s="6" t="inlineStr">
        <is>
          <t>累計新規訪問</t>
        </is>
      </c>
      <c r="J12" s="6">
        <f>SUMIFS(実績入力!$C$5:$C$204,実績入力!$A$5:$A$204,"&gt;="&amp;設定!$B$5,実績入力!$A$5:$A$204,"&lt;="&amp;$B$3)</f>
        <v/>
      </c>
      <c r="L12" s="6">
        <f>IF(B18="","",設定!$B$3&amp;"："&amp;A18&amp;B18&amp;IF(C18="","","　¥"&amp;TEXT(C18,"#,##0")))</f>
        <v/>
      </c>
      <c r="M12" s="6">
        <f>M11+IF(L12="",0,1)</f>
        <v/>
      </c>
    </row>
    <row r="13">
      <c r="A13" s="11" t="n"/>
      <c r="B13" s="11" t="n"/>
      <c r="C13" s="12" t="n"/>
      <c r="G13" s="8">
        <f>J9&amp;"件"</f>
        <v/>
      </c>
      <c r="I13" s="6" t="inlineStr">
        <is>
          <t>累計有効提案</t>
        </is>
      </c>
      <c r="J13" s="6">
        <f>SUMIFS(実績入力!$G$5:$G$204,実績入力!$A$5:$A$204,"&gt;="&amp;設定!$B$5,実績入力!$A$5:$A$204,"&lt;="&amp;$B$3)</f>
        <v/>
      </c>
      <c r="L13" s="6">
        <f>IF(B19="","",設定!$B$3&amp;"："&amp;A19&amp;B19&amp;IF(C19="","","　¥"&amp;TEXT(C19,"#,##0")))</f>
        <v/>
      </c>
      <c r="M13" s="6">
        <f>M12+IF(L13="",0,1)</f>
        <v/>
      </c>
    </row>
    <row r="14">
      <c r="G14" s="8" t="n"/>
      <c r="I14" s="6" t="inlineStr">
        <is>
          <t>現在のLTV</t>
        </is>
      </c>
      <c r="J14" s="6">
        <f>N(設定!B11)+SUMIFS(実績入力!$K$5:$K$204,実績入力!$A$5:$A$204,"&gt;="&amp;設定!$B$5,実績入力!$A$5:$A$204,"&lt;="&amp;$B$3)+SUMIFS(実績入力!$L$5:$L$204,実績入力!$A$5:$A$204,"&gt;="&amp;設定!$B$5,実績入力!$A$5:$A$204,"&lt;="&amp;$B$3)</f>
        <v/>
      </c>
      <c r="L14" s="6">
        <f>IF(B20="","",設定!$B$3&amp;"："&amp;A20&amp;B20&amp;IF(C20="","","　¥"&amp;TEXT(C20,"#,##0")))</f>
        <v/>
      </c>
      <c r="M14" s="6">
        <f>M13+IF(L14="",0,1)</f>
        <v/>
      </c>
    </row>
    <row r="15">
      <c r="A15" s="9">
        <f>設定!B10</f>
        <v/>
      </c>
      <c r="G15" s="8" t="inlineStr">
        <is>
          <t>日次有効提案取得率</t>
        </is>
      </c>
      <c r="I15" s="6" t="inlineStr">
        <is>
          <t>累計CKPI</t>
        </is>
      </c>
      <c r="J15" s="6">
        <f>SUMIFS(実績入力!$I$5:$I$204,実績入力!$A$5:$A$204,"&gt;="&amp;設定!$B$5,実績入力!$A$5:$A$204,"&lt;="&amp;$B$3)</f>
        <v/>
      </c>
      <c r="L15" s="6">
        <f>IF(B21="","",設定!$B$3&amp;"："&amp;A21&amp;B21&amp;IF(C21="","","　¥"&amp;TEXT(C21,"#,##0")))</f>
        <v/>
      </c>
      <c r="M15" s="6">
        <f>M14+IF(L15="",0,1)</f>
        <v/>
      </c>
    </row>
    <row r="16">
      <c r="A16" s="10" t="inlineStr">
        <is>
          <t>ランク</t>
        </is>
      </c>
      <c r="B16" s="10" t="inlineStr">
        <is>
          <t>会社名</t>
        </is>
      </c>
      <c r="C16" s="10" t="inlineStr">
        <is>
          <t>金額（円）</t>
        </is>
      </c>
      <c r="G16" s="8">
        <f>"新規訪問数："&amp;J10&amp;"件"</f>
        <v/>
      </c>
      <c r="I16" s="6" t="inlineStr">
        <is>
          <t>日次取次店</t>
        </is>
      </c>
      <c r="J16" s="6">
        <f>SUMIFS(実績入力!$J$5:$J$204,実績入力!$A$5:$A$204,$B$3)</f>
        <v/>
      </c>
      <c r="L16" s="6">
        <f>IF(B22="","",設定!$B$3&amp;"："&amp;A22&amp;B22&amp;IF(C22="","","　¥"&amp;TEXT(C22,"#,##0")))</f>
        <v/>
      </c>
      <c r="M16" s="6">
        <f>M15+IF(L16="",0,1)</f>
        <v/>
      </c>
    </row>
    <row r="17">
      <c r="A17" s="11" t="inlineStr">
        <is>
          <t>〇</t>
        </is>
      </c>
      <c r="B17" s="11" t="inlineStr">
        <is>
          <t>株式会社テスト</t>
        </is>
      </c>
      <c r="C17" s="12" t="n">
        <v>300000</v>
      </c>
      <c r="G17" s="8">
        <f>"有効提案取得数："&amp;J11&amp;"件"</f>
        <v/>
      </c>
      <c r="I17" s="6" t="inlineStr">
        <is>
          <t>累計取次店</t>
        </is>
      </c>
      <c r="J17" s="6">
        <f>SUMIFS(実績入力!$J$5:$J$204,実績入力!$A$5:$A$204,"&gt;="&amp;設定!$B$5,実績入力!$A$5:$A$204,"&lt;="&amp;$B$3)</f>
        <v/>
      </c>
    </row>
    <row r="18">
      <c r="A18" s="11" t="n"/>
      <c r="B18" s="11" t="n"/>
      <c r="C18" s="12" t="n"/>
      <c r="G18" s="8">
        <f>"有効提案率："&amp;IF(J10=0,"-",TEXT(J11/J10*100,"0.0"))&amp;"％"</f>
        <v/>
      </c>
      <c r="I18" s="6" t="inlineStr">
        <is>
          <t>翌日提案予定</t>
        </is>
      </c>
      <c r="J18" s="6">
        <f>SUMIFS(実績入力!$M$5:$M$204,実績入力!$A$5:$A$204,$B$3)</f>
        <v/>
      </c>
    </row>
    <row r="19">
      <c r="A19" s="11" t="n"/>
      <c r="B19" s="11" t="n"/>
      <c r="C19" s="12" t="n"/>
      <c r="G19" s="8" t="n"/>
      <c r="I19" s="6" t="inlineStr">
        <is>
          <t>翌日クロ予定</t>
        </is>
      </c>
      <c r="J19" s="6">
        <f>SUMIFS(実績入力!$N$5:$N$204,実績入力!$A$5:$A$204,$B$3)</f>
        <v/>
      </c>
    </row>
    <row r="20">
      <c r="A20" s="11" t="n"/>
      <c r="B20" s="11" t="n"/>
      <c r="C20" s="12" t="n"/>
      <c r="G20" s="8" t="inlineStr">
        <is>
          <t>累計有効提案取得率</t>
        </is>
      </c>
    </row>
    <row r="21">
      <c r="A21" s="11" t="n"/>
      <c r="B21" s="11" t="n"/>
      <c r="C21" s="12" t="n"/>
      <c r="G21" s="8">
        <f>"新規訪問数："&amp;J12&amp;"件"</f>
        <v/>
      </c>
    </row>
    <row r="22">
      <c r="A22" s="11" t="n"/>
      <c r="B22" s="11" t="n"/>
      <c r="C22" s="12" t="n"/>
      <c r="G22" s="8">
        <f>"有効提案取得数："&amp;J13&amp;"件"</f>
        <v/>
      </c>
    </row>
    <row r="23">
      <c r="G23" s="8">
        <f>"有効提案率："&amp;IF(J12=0,"-",TEXT(J13/J12*100,"0.0"))&amp;"％"</f>
        <v/>
      </c>
    </row>
    <row r="24">
      <c r="A24" s="6" t="inlineStr">
        <is>
          <t>※8行目・17行目は入力例。空欄の行は日報に出ません（各最大6件）</t>
        </is>
      </c>
      <c r="G24" s="8" t="n"/>
    </row>
    <row r="25">
      <c r="G25" s="8" t="inlineStr">
        <is>
          <t>現在のLTV</t>
        </is>
      </c>
    </row>
    <row r="26">
      <c r="A26" s="4" t="inlineStr">
        <is>
          <t>使い方</t>
        </is>
      </c>
      <c r="G26" s="8">
        <f>"¥"&amp;TEXT(J14,"#,##0")</f>
        <v/>
      </c>
    </row>
    <row r="27">
      <c r="A27" s="13" t="inlineStr">
        <is>
          <t>①「設定」シートで氏名・期間・自アポ目標を入れる（最初だけ）</t>
        </is>
      </c>
      <c r="G27" s="8" t="n"/>
    </row>
    <row r="28">
      <c r="A28" s="13" t="inlineStr">
        <is>
          <t>②「実績入力」シートに今日の行を追加して数字を入れる</t>
        </is>
      </c>
      <c r="G28" s="8" t="inlineStr">
        <is>
          <t>累計CKPIマッチング数</t>
        </is>
      </c>
    </row>
    <row r="29">
      <c r="A29" s="13" t="inlineStr">
        <is>
          <t>③ このシートの黄色欄にヨミ案件を入れる（ユニーク／クロスセル）</t>
        </is>
      </c>
      <c r="G29" s="8">
        <f>J15&amp;"件"</f>
        <v/>
      </c>
    </row>
    <row r="30">
      <c r="A30" s="13" t="inlineStr">
        <is>
          <t>④ 右の緑枠（G3〜G53）を選択 → Ctrl+C → 報告先に貼り付け</t>
        </is>
      </c>
      <c r="G30" s="8" t="n"/>
    </row>
    <row r="31">
      <c r="A31" s="13" t="inlineStr">
        <is>
          <t>黄色＝入力欄 / 青字＝手入力値 / それ以外は自動計算</t>
        </is>
      </c>
      <c r="G31" s="8" t="inlineStr">
        <is>
          <t>日次取次店開拓数</t>
        </is>
      </c>
    </row>
    <row r="32">
      <c r="G32" s="8">
        <f>J16&amp;"件"</f>
        <v/>
      </c>
    </row>
    <row r="33">
      <c r="G33" s="8" t="inlineStr">
        <is>
          <t>累計取次店開拓数</t>
        </is>
      </c>
    </row>
    <row r="34">
      <c r="G34" s="8">
        <f>J17&amp;"件"</f>
        <v/>
      </c>
    </row>
    <row r="35">
      <c r="G35" s="8" t="n"/>
    </row>
    <row r="36">
      <c r="G36" s="8" t="inlineStr">
        <is>
          <t>【翌日の予定・ヨミ】</t>
        </is>
      </c>
    </row>
    <row r="37">
      <c r="G37" s="8">
        <f>"■提案予定数："&amp;J18&amp;"件"</f>
        <v/>
      </c>
    </row>
    <row r="38">
      <c r="G38" s="8">
        <f>"■クロ予定数："&amp;J19&amp;"件"</f>
        <v/>
      </c>
    </row>
    <row r="39">
      <c r="G39" s="8" t="inlineStr">
        <is>
          <t>■今日読める案件バイネーム</t>
        </is>
      </c>
    </row>
    <row r="40">
      <c r="G40" s="8">
        <f>IFERROR(INDEX($L$3:$L$16,MATCH(1,$M$3:$M$16,0)),"")</f>
        <v/>
      </c>
    </row>
    <row r="41">
      <c r="G41" s="8">
        <f>IFERROR(INDEX($L$3:$L$16,MATCH(2,$M$3:$M$16,0)),"")</f>
        <v/>
      </c>
    </row>
    <row r="42">
      <c r="G42" s="8">
        <f>IFERROR(INDEX($L$3:$L$16,MATCH(3,$M$3:$M$16,0)),"")</f>
        <v/>
      </c>
    </row>
    <row r="43">
      <c r="G43" s="8">
        <f>IFERROR(INDEX($L$3:$L$16,MATCH(4,$M$3:$M$16,0)),"")</f>
        <v/>
      </c>
    </row>
    <row r="44">
      <c r="G44" s="8">
        <f>IFERROR(INDEX($L$3:$L$16,MATCH(5,$M$3:$M$16,0)),"")</f>
        <v/>
      </c>
    </row>
    <row r="45">
      <c r="G45" s="8">
        <f>IFERROR(INDEX($L$3:$L$16,MATCH(6,$M$3:$M$16,0)),"")</f>
        <v/>
      </c>
    </row>
    <row r="46">
      <c r="G46" s="8">
        <f>IFERROR(INDEX($L$3:$L$16,MATCH(7,$M$3:$M$16,0)),"")</f>
        <v/>
      </c>
    </row>
    <row r="47">
      <c r="G47" s="8">
        <f>IFERROR(INDEX($L$3:$L$16,MATCH(8,$M$3:$M$16,0)),"")</f>
        <v/>
      </c>
    </row>
    <row r="48">
      <c r="G48" s="8">
        <f>IFERROR(INDEX($L$3:$L$16,MATCH(9,$M$3:$M$16,0)),"")</f>
        <v/>
      </c>
    </row>
    <row r="49">
      <c r="G49" s="8">
        <f>IFERROR(INDEX($L$3:$L$16,MATCH(10,$M$3:$M$16,0)),"")</f>
        <v/>
      </c>
    </row>
    <row r="50">
      <c r="G50" s="8">
        <f>IFERROR(INDEX($L$3:$L$16,MATCH(11,$M$3:$M$16,0)),"")</f>
        <v/>
      </c>
    </row>
    <row r="51">
      <c r="G51" s="8">
        <f>IFERROR(INDEX($L$3:$L$16,MATCH(12,$M$3:$M$16,0)),"")</f>
        <v/>
      </c>
    </row>
    <row r="52">
      <c r="G52" s="8">
        <f>IFERROR(INDEX($L$3:$L$16,MATCH(13,$M$3:$M$16,0)),"")</f>
        <v/>
      </c>
    </row>
    <row r="53">
      <c r="G53" s="14">
        <f>IFERROR(INDEX($L$3:$L$16,MATCH(14,$M$3:$M$16,0)),"")</f>
        <v/>
      </c>
    </row>
  </sheetData>
  <dataValidations count="1">
    <dataValidation sqref="A8 A9 A10 A11 A12 A13 A17 A18 A19 A20 A21 A22" showDropDown="0" showInputMessage="0" showErrorMessage="0" allowBlank="1" type="list">
      <formula1>"◎,〇,△,▲"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</cols>
  <sheetData>
    <row r="1">
      <c r="A1" s="1" t="inlineStr">
        <is>
          <t>設定（最初に一度だけ入力・期間が変わったら更新）</t>
        </is>
      </c>
    </row>
    <row r="2">
      <c r="A2" s="4" t="inlineStr">
        <is>
          <t>氏名</t>
        </is>
      </c>
      <c r="B2" s="11" t="inlineStr">
        <is>
          <t>杉本賢亮</t>
        </is>
      </c>
      <c r="C2" s="15" t="inlineStr">
        <is>
          <t>日報の【】内に表示</t>
        </is>
      </c>
    </row>
    <row r="3">
      <c r="A3" s="4" t="inlineStr">
        <is>
          <t>短縮名</t>
        </is>
      </c>
      <c r="B3" s="11" t="inlineStr">
        <is>
          <t>杉本</t>
        </is>
      </c>
      <c r="C3" s="15" t="inlineStr">
        <is>
          <t>ヨミ案件の「杉本：」に表示</t>
        </is>
      </c>
    </row>
    <row r="4">
      <c r="A4" s="4" t="inlineStr">
        <is>
          <t>ヨミ区分①</t>
        </is>
      </c>
      <c r="B4" s="11" t="inlineStr">
        <is>
          <t>ユニーク</t>
        </is>
      </c>
      <c r="C4" s="15" t="inlineStr">
        <is>
          <t>「今日読める案件バイネーム」の1つ目の見出し</t>
        </is>
      </c>
    </row>
    <row r="5">
      <c r="A5" s="4" t="inlineStr">
        <is>
          <t>期間開始日</t>
        </is>
      </c>
      <c r="B5" s="16" t="n">
        <v>46266</v>
      </c>
      <c r="C5" s="15" t="inlineStr">
        <is>
          <t>累計・乖離の集計開始日</t>
        </is>
      </c>
    </row>
    <row r="6">
      <c r="A6" s="4" t="inlineStr">
        <is>
          <t>期間終了日</t>
        </is>
      </c>
      <c r="B6" s="16" t="n">
        <v>46295</v>
      </c>
      <c r="C6" s="15" t="inlineStr">
        <is>
          <t>累計・乖離の集計終了日</t>
        </is>
      </c>
    </row>
    <row r="7">
      <c r="A7" s="4" t="inlineStr">
        <is>
          <t>自アポ目標（期間）</t>
        </is>
      </c>
      <c r="B7" s="11" t="n">
        <v>20</v>
      </c>
      <c r="C7" s="15" t="inlineStr">
        <is>
          <t>期間全体の自アポ目標件数（例の値。書き換えてください）</t>
        </is>
      </c>
    </row>
    <row r="8">
      <c r="A8" s="4" t="inlineStr">
        <is>
          <t>経過営業日（手入力）</t>
        </is>
      </c>
      <c r="B8" s="11" t="n"/>
      <c r="C8" s="15" t="inlineStr">
        <is>
          <t>空欄なら自動計算（土日・下の祝日を除く）。数字を入れるとそちら優先</t>
        </is>
      </c>
    </row>
    <row r="9">
      <c r="A9" s="4" t="inlineStr">
        <is>
          <t>期間営業日数</t>
        </is>
      </c>
      <c r="B9" s="17">
        <f>NETWORKDAYS(B5,B6,$A$14:$A$60)</f>
        <v/>
      </c>
      <c r="C9" s="15" t="inlineStr">
        <is>
          <t>自動計算</t>
        </is>
      </c>
    </row>
    <row r="10">
      <c r="A10" s="4" t="inlineStr">
        <is>
          <t>ヨミ区分②</t>
        </is>
      </c>
      <c r="B10" s="11" t="inlineStr">
        <is>
          <t>クロスセル</t>
        </is>
      </c>
      <c r="C10" s="15" t="inlineStr">
        <is>
          <t>「今日読める案件バイネーム」の2つ目の見出し</t>
        </is>
      </c>
    </row>
    <row r="11">
      <c r="A11" s="4" t="inlineStr">
        <is>
          <t>LTV繰越額（円）</t>
        </is>
      </c>
      <c r="B11" s="12" t="n">
        <v>0</v>
      </c>
      <c r="C11" s="15" t="inlineStr">
        <is>
          <t>期間開始日より前の受注金額合計。LTV＝繰越額＋期間中のユニーク受注＋クロスセル受注</t>
        </is>
      </c>
    </row>
    <row r="13">
      <c r="A13" s="4" t="inlineStr">
        <is>
          <t>祝日・会社休日（営業日計算で除外）</t>
        </is>
      </c>
      <c r="C13" s="15" t="inlineStr">
        <is>
          <t>出典：内閣府「国民の祝日について」。会社休日は空いている行に追加してください</t>
        </is>
      </c>
    </row>
    <row r="14">
      <c r="A14" s="18" t="n">
        <v>46023</v>
      </c>
    </row>
    <row r="15">
      <c r="A15" s="18" t="n">
        <v>46034</v>
      </c>
    </row>
    <row r="16">
      <c r="A16" s="18" t="n">
        <v>46064</v>
      </c>
    </row>
    <row r="17">
      <c r="A17" s="18" t="n">
        <v>46076</v>
      </c>
    </row>
    <row r="18">
      <c r="A18" s="18" t="n">
        <v>46101</v>
      </c>
    </row>
    <row r="19">
      <c r="A19" s="18" t="n">
        <v>46141</v>
      </c>
    </row>
    <row r="20">
      <c r="A20" s="18" t="n">
        <v>46146</v>
      </c>
    </row>
    <row r="21">
      <c r="A21" s="18" t="n">
        <v>46147</v>
      </c>
    </row>
    <row r="22">
      <c r="A22" s="18" t="n">
        <v>46148</v>
      </c>
    </row>
    <row r="23">
      <c r="A23" s="18" t="n">
        <v>46223</v>
      </c>
    </row>
    <row r="24">
      <c r="A24" s="18" t="n">
        <v>46245</v>
      </c>
    </row>
    <row r="25">
      <c r="A25" s="18" t="n">
        <v>46286</v>
      </c>
    </row>
    <row r="26">
      <c r="A26" s="18" t="n">
        <v>46287</v>
      </c>
    </row>
    <row r="27">
      <c r="A27" s="18" t="n">
        <v>46288</v>
      </c>
    </row>
    <row r="28">
      <c r="A28" s="18" t="n">
        <v>46307</v>
      </c>
    </row>
    <row r="29">
      <c r="A29" s="18" t="n">
        <v>46329</v>
      </c>
    </row>
    <row r="30">
      <c r="A30" s="18" t="n">
        <v>46349</v>
      </c>
    </row>
    <row r="31">
      <c r="A31" s="18" t="n">
        <v>46388</v>
      </c>
    </row>
    <row r="32">
      <c r="A32" s="18" t="n">
        <v>46398</v>
      </c>
    </row>
    <row r="33">
      <c r="A33" s="18" t="n">
        <v>46429</v>
      </c>
    </row>
    <row r="34">
      <c r="A34" s="18" t="n">
        <v>46441</v>
      </c>
    </row>
    <row r="35">
      <c r="A35" s="18" t="n">
        <v>46468</v>
      </c>
    </row>
    <row r="36">
      <c r="A36" s="18" t="n">
        <v>46506</v>
      </c>
    </row>
    <row r="37">
      <c r="A37" s="18" t="n">
        <v>46510</v>
      </c>
    </row>
    <row r="38">
      <c r="A38" s="18" t="n">
        <v>46511</v>
      </c>
    </row>
    <row r="39">
      <c r="A39" s="18" t="n">
        <v>46512</v>
      </c>
    </row>
    <row r="40">
      <c r="A40" s="18" t="n">
        <v>46587</v>
      </c>
    </row>
    <row r="41">
      <c r="A41" s="18" t="n">
        <v>46610</v>
      </c>
    </row>
    <row r="42">
      <c r="A42" s="18" t="n">
        <v>46650</v>
      </c>
    </row>
    <row r="43">
      <c r="A43" s="18" t="n">
        <v>46653</v>
      </c>
    </row>
    <row r="44">
      <c r="A44" s="18" t="n">
        <v>46671</v>
      </c>
    </row>
    <row r="45">
      <c r="A45" s="18" t="n">
        <v>46694</v>
      </c>
    </row>
    <row r="46">
      <c r="A46" s="18" t="n">
        <v>46714</v>
      </c>
    </row>
    <row r="47">
      <c r="A47" s="19" t="n"/>
    </row>
    <row r="48">
      <c r="A48" s="19" t="n"/>
    </row>
    <row r="49">
      <c r="A49" s="19" t="n"/>
    </row>
    <row r="50">
      <c r="A50" s="19" t="n"/>
    </row>
    <row r="51">
      <c r="A51" s="19" t="n"/>
    </row>
    <row r="52">
      <c r="A52" s="19" t="n"/>
    </row>
    <row r="53">
      <c r="A53" s="19" t="n"/>
    </row>
    <row r="54">
      <c r="A54" s="19" t="n"/>
    </row>
    <row r="55">
      <c r="A55" s="19" t="n"/>
    </row>
    <row r="56">
      <c r="A56" s="19" t="n"/>
    </row>
    <row r="57">
      <c r="A57" s="19" t="n"/>
    </row>
    <row r="58">
      <c r="A58" s="19" t="n"/>
    </row>
    <row r="59">
      <c r="A59" s="19" t="n"/>
    </row>
    <row r="60">
      <c r="A60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3" customWidth="1" min="7" max="7"/>
    <col width="11" customWidth="1" min="8" max="8"/>
    <col width="14" customWidth="1" min="9" max="9"/>
    <col width="12" customWidth="1" min="10" max="10"/>
    <col width="15" customWidth="1" min="11" max="11"/>
    <col width="15" customWidth="1" min="12" max="12"/>
    <col width="13" customWidth="1" min="13" max="13"/>
    <col width="13" customWidth="1" min="14" max="14"/>
    <col width="30" customWidth="1" min="15" max="15"/>
  </cols>
  <sheetData>
    <row r="1">
      <c r="A1" s="1" t="inlineStr">
        <is>
          <t>実績入力（1日1行・黄色セルに今日の数字を入れる）</t>
        </is>
      </c>
    </row>
    <row r="2">
      <c r="A2" s="15" t="inlineStr">
        <is>
          <t>※5行目は入力例です。使い始める前に数字を消すか、実際の数字に書き換えてください。灰色の列は自動計算。</t>
        </is>
      </c>
    </row>
    <row r="4" ht="32" customHeight="1">
      <c r="A4" s="20" t="inlineStr">
        <is>
          <t>日付</t>
        </is>
      </c>
      <c r="B4" s="20" t="inlineStr">
        <is>
          <t>自アポ獲得数</t>
        </is>
      </c>
      <c r="C4" s="20" t="inlineStr">
        <is>
          <t>新規訪問数</t>
        </is>
      </c>
      <c r="D4" s="20" t="inlineStr">
        <is>
          <t>提案訪問数</t>
        </is>
      </c>
      <c r="E4" s="20" t="inlineStr">
        <is>
          <t>クロ訪問数</t>
        </is>
      </c>
      <c r="F4" s="20" t="inlineStr">
        <is>
          <t>日次訪問数計</t>
        </is>
      </c>
      <c r="G4" s="20" t="inlineStr">
        <is>
          <t>有効提案取得数</t>
        </is>
      </c>
      <c r="H4" s="20" t="inlineStr">
        <is>
          <t>有効提案率</t>
        </is>
      </c>
      <c r="I4" s="20" t="inlineStr">
        <is>
          <t>CKPIマッチング数</t>
        </is>
      </c>
      <c r="J4" s="20" t="inlineStr">
        <is>
          <t>取次店開拓数</t>
        </is>
      </c>
      <c r="K4" s="20" t="inlineStr">
        <is>
          <t>ユニーク受注金額（円）</t>
        </is>
      </c>
      <c r="L4" s="20" t="inlineStr">
        <is>
          <t>クロスセル受注金額（円）</t>
        </is>
      </c>
      <c r="M4" s="20" t="inlineStr">
        <is>
          <t>翌日 提案予定数</t>
        </is>
      </c>
      <c r="N4" s="20" t="inlineStr">
        <is>
          <t>翌日 クロ予定数</t>
        </is>
      </c>
      <c r="O4" s="20" t="inlineStr">
        <is>
          <t>メモ</t>
        </is>
      </c>
    </row>
    <row r="5">
      <c r="A5" s="21" t="n">
        <v>46294</v>
      </c>
      <c r="B5" s="11" t="n">
        <v>1</v>
      </c>
      <c r="C5" s="11" t="n">
        <v>3</v>
      </c>
      <c r="D5" s="11" t="n">
        <v>2</v>
      </c>
      <c r="E5" s="11" t="n">
        <v>1</v>
      </c>
      <c r="F5" s="22">
        <f>IF(A5="","",SUM(C5:E5))</f>
        <v/>
      </c>
      <c r="G5" s="11" t="n">
        <v>2</v>
      </c>
      <c r="H5" s="23">
        <f>IF(OR(A5="",N(C5)=0),"",G5/C5)</f>
        <v/>
      </c>
      <c r="I5" s="11" t="n">
        <v>1</v>
      </c>
      <c r="J5" s="11" t="n">
        <v>0</v>
      </c>
      <c r="K5" s="12" t="n">
        <v>800000</v>
      </c>
      <c r="L5" s="12" t="n">
        <v>400000</v>
      </c>
      <c r="M5" s="11" t="n">
        <v>10</v>
      </c>
      <c r="N5" s="11" t="n">
        <v>1</v>
      </c>
      <c r="O5" s="11" t="inlineStr">
        <is>
          <t>入力例</t>
        </is>
      </c>
    </row>
    <row r="6">
      <c r="A6" s="21" t="n"/>
      <c r="B6" s="11" t="n"/>
      <c r="C6" s="11" t="n"/>
      <c r="D6" s="11" t="n"/>
      <c r="E6" s="11" t="n"/>
      <c r="F6" s="22">
        <f>IF(A6="","",SUM(C6:E6))</f>
        <v/>
      </c>
      <c r="G6" s="11" t="n"/>
      <c r="H6" s="23">
        <f>IF(OR(A6="",N(C6)=0),"",G6/C6)</f>
        <v/>
      </c>
      <c r="I6" s="11" t="n"/>
      <c r="J6" s="11" t="n"/>
      <c r="K6" s="12" t="n"/>
      <c r="L6" s="12" t="n"/>
      <c r="M6" s="11" t="n"/>
      <c r="N6" s="11" t="n"/>
      <c r="O6" s="11" t="n"/>
    </row>
    <row r="7">
      <c r="A7" s="21" t="n"/>
      <c r="B7" s="11" t="n"/>
      <c r="C7" s="11" t="n"/>
      <c r="D7" s="11" t="n"/>
      <c r="E7" s="11" t="n"/>
      <c r="F7" s="22">
        <f>IF(A7="","",SUM(C7:E7))</f>
        <v/>
      </c>
      <c r="G7" s="11" t="n"/>
      <c r="H7" s="23">
        <f>IF(OR(A7="",N(C7)=0),"",G7/C7)</f>
        <v/>
      </c>
      <c r="I7" s="11" t="n"/>
      <c r="J7" s="11" t="n"/>
      <c r="K7" s="12" t="n"/>
      <c r="L7" s="12" t="n"/>
      <c r="M7" s="11" t="n"/>
      <c r="N7" s="11" t="n"/>
      <c r="O7" s="11" t="n"/>
    </row>
    <row r="8">
      <c r="A8" s="21" t="n"/>
      <c r="B8" s="11" t="n"/>
      <c r="C8" s="11" t="n"/>
      <c r="D8" s="11" t="n"/>
      <c r="E8" s="11" t="n"/>
      <c r="F8" s="22">
        <f>IF(A8="","",SUM(C8:E8))</f>
        <v/>
      </c>
      <c r="G8" s="11" t="n"/>
      <c r="H8" s="23">
        <f>IF(OR(A8="",N(C8)=0),"",G8/C8)</f>
        <v/>
      </c>
      <c r="I8" s="11" t="n"/>
      <c r="J8" s="11" t="n"/>
      <c r="K8" s="12" t="n"/>
      <c r="L8" s="12" t="n"/>
      <c r="M8" s="11" t="n"/>
      <c r="N8" s="11" t="n"/>
      <c r="O8" s="11" t="n"/>
    </row>
    <row r="9">
      <c r="A9" s="21" t="n"/>
      <c r="B9" s="11" t="n"/>
      <c r="C9" s="11" t="n"/>
      <c r="D9" s="11" t="n"/>
      <c r="E9" s="11" t="n"/>
      <c r="F9" s="22">
        <f>IF(A9="","",SUM(C9:E9))</f>
        <v/>
      </c>
      <c r="G9" s="11" t="n"/>
      <c r="H9" s="23">
        <f>IF(OR(A9="",N(C9)=0),"",G9/C9)</f>
        <v/>
      </c>
      <c r="I9" s="11" t="n"/>
      <c r="J9" s="11" t="n"/>
      <c r="K9" s="12" t="n"/>
      <c r="L9" s="12" t="n"/>
      <c r="M9" s="11" t="n"/>
      <c r="N9" s="11" t="n"/>
      <c r="O9" s="11" t="n"/>
    </row>
    <row r="10">
      <c r="A10" s="21" t="n"/>
      <c r="B10" s="11" t="n"/>
      <c r="C10" s="11" t="n"/>
      <c r="D10" s="11" t="n"/>
      <c r="E10" s="11" t="n"/>
      <c r="F10" s="22">
        <f>IF(A10="","",SUM(C10:E10))</f>
        <v/>
      </c>
      <c r="G10" s="11" t="n"/>
      <c r="H10" s="23">
        <f>IF(OR(A10="",N(C10)=0),"",G10/C10)</f>
        <v/>
      </c>
      <c r="I10" s="11" t="n"/>
      <c r="J10" s="11" t="n"/>
      <c r="K10" s="12" t="n"/>
      <c r="L10" s="12" t="n"/>
      <c r="M10" s="11" t="n"/>
      <c r="N10" s="11" t="n"/>
      <c r="O10" s="11" t="n"/>
    </row>
    <row r="11">
      <c r="A11" s="21" t="n"/>
      <c r="B11" s="11" t="n"/>
      <c r="C11" s="11" t="n"/>
      <c r="D11" s="11" t="n"/>
      <c r="E11" s="11" t="n"/>
      <c r="F11" s="22">
        <f>IF(A11="","",SUM(C11:E11))</f>
        <v/>
      </c>
      <c r="G11" s="11" t="n"/>
      <c r="H11" s="23">
        <f>IF(OR(A11="",N(C11)=0),"",G11/C11)</f>
        <v/>
      </c>
      <c r="I11" s="11" t="n"/>
      <c r="J11" s="11" t="n"/>
      <c r="K11" s="12" t="n"/>
      <c r="L11" s="12" t="n"/>
      <c r="M11" s="11" t="n"/>
      <c r="N11" s="11" t="n"/>
      <c r="O11" s="11" t="n"/>
    </row>
    <row r="12">
      <c r="A12" s="21" t="n"/>
      <c r="B12" s="11" t="n"/>
      <c r="C12" s="11" t="n"/>
      <c r="D12" s="11" t="n"/>
      <c r="E12" s="11" t="n"/>
      <c r="F12" s="22">
        <f>IF(A12="","",SUM(C12:E12))</f>
        <v/>
      </c>
      <c r="G12" s="11" t="n"/>
      <c r="H12" s="23">
        <f>IF(OR(A12="",N(C12)=0),"",G12/C12)</f>
        <v/>
      </c>
      <c r="I12" s="11" t="n"/>
      <c r="J12" s="11" t="n"/>
      <c r="K12" s="12" t="n"/>
      <c r="L12" s="12" t="n"/>
      <c r="M12" s="11" t="n"/>
      <c r="N12" s="11" t="n"/>
      <c r="O12" s="11" t="n"/>
    </row>
    <row r="13">
      <c r="A13" s="21" t="n"/>
      <c r="B13" s="11" t="n"/>
      <c r="C13" s="11" t="n"/>
      <c r="D13" s="11" t="n"/>
      <c r="E13" s="11" t="n"/>
      <c r="F13" s="22">
        <f>IF(A13="","",SUM(C13:E13))</f>
        <v/>
      </c>
      <c r="G13" s="11" t="n"/>
      <c r="H13" s="23">
        <f>IF(OR(A13="",N(C13)=0),"",G13/C13)</f>
        <v/>
      </c>
      <c r="I13" s="11" t="n"/>
      <c r="J13" s="11" t="n"/>
      <c r="K13" s="12" t="n"/>
      <c r="L13" s="12" t="n"/>
      <c r="M13" s="11" t="n"/>
      <c r="N13" s="11" t="n"/>
      <c r="O13" s="11" t="n"/>
    </row>
    <row r="14">
      <c r="A14" s="21" t="n"/>
      <c r="B14" s="11" t="n"/>
      <c r="C14" s="11" t="n"/>
      <c r="D14" s="11" t="n"/>
      <c r="E14" s="11" t="n"/>
      <c r="F14" s="22">
        <f>IF(A14="","",SUM(C14:E14))</f>
        <v/>
      </c>
      <c r="G14" s="11" t="n"/>
      <c r="H14" s="23">
        <f>IF(OR(A14="",N(C14)=0),"",G14/C14)</f>
        <v/>
      </c>
      <c r="I14" s="11" t="n"/>
      <c r="J14" s="11" t="n"/>
      <c r="K14" s="12" t="n"/>
      <c r="L14" s="12" t="n"/>
      <c r="M14" s="11" t="n"/>
      <c r="N14" s="11" t="n"/>
      <c r="O14" s="11" t="n"/>
    </row>
    <row r="15">
      <c r="A15" s="21" t="n"/>
      <c r="B15" s="11" t="n"/>
      <c r="C15" s="11" t="n"/>
      <c r="D15" s="11" t="n"/>
      <c r="E15" s="11" t="n"/>
      <c r="F15" s="22">
        <f>IF(A15="","",SUM(C15:E15))</f>
        <v/>
      </c>
      <c r="G15" s="11" t="n"/>
      <c r="H15" s="23">
        <f>IF(OR(A15="",N(C15)=0),"",G15/C15)</f>
        <v/>
      </c>
      <c r="I15" s="11" t="n"/>
      <c r="J15" s="11" t="n"/>
      <c r="K15" s="12" t="n"/>
      <c r="L15" s="12" t="n"/>
      <c r="M15" s="11" t="n"/>
      <c r="N15" s="11" t="n"/>
      <c r="O15" s="11" t="n"/>
    </row>
    <row r="16">
      <c r="A16" s="21" t="n"/>
      <c r="B16" s="11" t="n"/>
      <c r="C16" s="11" t="n"/>
      <c r="D16" s="11" t="n"/>
      <c r="E16" s="11" t="n"/>
      <c r="F16" s="22">
        <f>IF(A16="","",SUM(C16:E16))</f>
        <v/>
      </c>
      <c r="G16" s="11" t="n"/>
      <c r="H16" s="23">
        <f>IF(OR(A16="",N(C16)=0),"",G16/C16)</f>
        <v/>
      </c>
      <c r="I16" s="11" t="n"/>
      <c r="J16" s="11" t="n"/>
      <c r="K16" s="12" t="n"/>
      <c r="L16" s="12" t="n"/>
      <c r="M16" s="11" t="n"/>
      <c r="N16" s="11" t="n"/>
      <c r="O16" s="11" t="n"/>
    </row>
    <row r="17">
      <c r="A17" s="21" t="n"/>
      <c r="B17" s="11" t="n"/>
      <c r="C17" s="11" t="n"/>
      <c r="D17" s="11" t="n"/>
      <c r="E17" s="11" t="n"/>
      <c r="F17" s="22">
        <f>IF(A17="","",SUM(C17:E17))</f>
        <v/>
      </c>
      <c r="G17" s="11" t="n"/>
      <c r="H17" s="23">
        <f>IF(OR(A17="",N(C17)=0),"",G17/C17)</f>
        <v/>
      </c>
      <c r="I17" s="11" t="n"/>
      <c r="J17" s="11" t="n"/>
      <c r="K17" s="12" t="n"/>
      <c r="L17" s="12" t="n"/>
      <c r="M17" s="11" t="n"/>
      <c r="N17" s="11" t="n"/>
      <c r="O17" s="11" t="n"/>
    </row>
    <row r="18">
      <c r="A18" s="21" t="n"/>
      <c r="B18" s="11" t="n"/>
      <c r="C18" s="11" t="n"/>
      <c r="D18" s="11" t="n"/>
      <c r="E18" s="11" t="n"/>
      <c r="F18" s="22">
        <f>IF(A18="","",SUM(C18:E18))</f>
        <v/>
      </c>
      <c r="G18" s="11" t="n"/>
      <c r="H18" s="23">
        <f>IF(OR(A18="",N(C18)=0),"",G18/C18)</f>
        <v/>
      </c>
      <c r="I18" s="11" t="n"/>
      <c r="J18" s="11" t="n"/>
      <c r="K18" s="12" t="n"/>
      <c r="L18" s="12" t="n"/>
      <c r="M18" s="11" t="n"/>
      <c r="N18" s="11" t="n"/>
      <c r="O18" s="11" t="n"/>
    </row>
    <row r="19">
      <c r="A19" s="21" t="n"/>
      <c r="B19" s="11" t="n"/>
      <c r="C19" s="11" t="n"/>
      <c r="D19" s="11" t="n"/>
      <c r="E19" s="11" t="n"/>
      <c r="F19" s="22">
        <f>IF(A19="","",SUM(C19:E19))</f>
        <v/>
      </c>
      <c r="G19" s="11" t="n"/>
      <c r="H19" s="23">
        <f>IF(OR(A19="",N(C19)=0),"",G19/C19)</f>
        <v/>
      </c>
      <c r="I19" s="11" t="n"/>
      <c r="J19" s="11" t="n"/>
      <c r="K19" s="12" t="n"/>
      <c r="L19" s="12" t="n"/>
      <c r="M19" s="11" t="n"/>
      <c r="N19" s="11" t="n"/>
      <c r="O19" s="11" t="n"/>
    </row>
    <row r="20">
      <c r="A20" s="21" t="n"/>
      <c r="B20" s="11" t="n"/>
      <c r="C20" s="11" t="n"/>
      <c r="D20" s="11" t="n"/>
      <c r="E20" s="11" t="n"/>
      <c r="F20" s="22">
        <f>IF(A20="","",SUM(C20:E20))</f>
        <v/>
      </c>
      <c r="G20" s="11" t="n"/>
      <c r="H20" s="23">
        <f>IF(OR(A20="",N(C20)=0),"",G20/C20)</f>
        <v/>
      </c>
      <c r="I20" s="11" t="n"/>
      <c r="J20" s="11" t="n"/>
      <c r="K20" s="12" t="n"/>
      <c r="L20" s="12" t="n"/>
      <c r="M20" s="11" t="n"/>
      <c r="N20" s="11" t="n"/>
      <c r="O20" s="11" t="n"/>
    </row>
    <row r="21">
      <c r="A21" s="21" t="n"/>
      <c r="B21" s="11" t="n"/>
      <c r="C21" s="11" t="n"/>
      <c r="D21" s="11" t="n"/>
      <c r="E21" s="11" t="n"/>
      <c r="F21" s="22">
        <f>IF(A21="","",SUM(C21:E21))</f>
        <v/>
      </c>
      <c r="G21" s="11" t="n"/>
      <c r="H21" s="23">
        <f>IF(OR(A21="",N(C21)=0),"",G21/C21)</f>
        <v/>
      </c>
      <c r="I21" s="11" t="n"/>
      <c r="J21" s="11" t="n"/>
      <c r="K21" s="12" t="n"/>
      <c r="L21" s="12" t="n"/>
      <c r="M21" s="11" t="n"/>
      <c r="N21" s="11" t="n"/>
      <c r="O21" s="11" t="n"/>
    </row>
    <row r="22">
      <c r="A22" s="21" t="n"/>
      <c r="B22" s="11" t="n"/>
      <c r="C22" s="11" t="n"/>
      <c r="D22" s="11" t="n"/>
      <c r="E22" s="11" t="n"/>
      <c r="F22" s="22">
        <f>IF(A22="","",SUM(C22:E22))</f>
        <v/>
      </c>
      <c r="G22" s="11" t="n"/>
      <c r="H22" s="23">
        <f>IF(OR(A22="",N(C22)=0),"",G22/C22)</f>
        <v/>
      </c>
      <c r="I22" s="11" t="n"/>
      <c r="J22" s="11" t="n"/>
      <c r="K22" s="12" t="n"/>
      <c r="L22" s="12" t="n"/>
      <c r="M22" s="11" t="n"/>
      <c r="N22" s="11" t="n"/>
      <c r="O22" s="11" t="n"/>
    </row>
    <row r="23">
      <c r="A23" s="21" t="n"/>
      <c r="B23" s="11" t="n"/>
      <c r="C23" s="11" t="n"/>
      <c r="D23" s="11" t="n"/>
      <c r="E23" s="11" t="n"/>
      <c r="F23" s="22">
        <f>IF(A23="","",SUM(C23:E23))</f>
        <v/>
      </c>
      <c r="G23" s="11" t="n"/>
      <c r="H23" s="23">
        <f>IF(OR(A23="",N(C23)=0),"",G23/C23)</f>
        <v/>
      </c>
      <c r="I23" s="11" t="n"/>
      <c r="J23" s="11" t="n"/>
      <c r="K23" s="12" t="n"/>
      <c r="L23" s="12" t="n"/>
      <c r="M23" s="11" t="n"/>
      <c r="N23" s="11" t="n"/>
      <c r="O23" s="11" t="n"/>
    </row>
    <row r="24">
      <c r="A24" s="21" t="n"/>
      <c r="B24" s="11" t="n"/>
      <c r="C24" s="11" t="n"/>
      <c r="D24" s="11" t="n"/>
      <c r="E24" s="11" t="n"/>
      <c r="F24" s="22">
        <f>IF(A24="","",SUM(C24:E24))</f>
        <v/>
      </c>
      <c r="G24" s="11" t="n"/>
      <c r="H24" s="23">
        <f>IF(OR(A24="",N(C24)=0),"",G24/C24)</f>
        <v/>
      </c>
      <c r="I24" s="11" t="n"/>
      <c r="J24" s="11" t="n"/>
      <c r="K24" s="12" t="n"/>
      <c r="L24" s="12" t="n"/>
      <c r="M24" s="11" t="n"/>
      <c r="N24" s="11" t="n"/>
      <c r="O24" s="11" t="n"/>
    </row>
    <row r="25">
      <c r="A25" s="21" t="n"/>
      <c r="B25" s="11" t="n"/>
      <c r="C25" s="11" t="n"/>
      <c r="D25" s="11" t="n"/>
      <c r="E25" s="11" t="n"/>
      <c r="F25" s="22">
        <f>IF(A25="","",SUM(C25:E25))</f>
        <v/>
      </c>
      <c r="G25" s="11" t="n"/>
      <c r="H25" s="23">
        <f>IF(OR(A25="",N(C25)=0),"",G25/C25)</f>
        <v/>
      </c>
      <c r="I25" s="11" t="n"/>
      <c r="J25" s="11" t="n"/>
      <c r="K25" s="12" t="n"/>
      <c r="L25" s="12" t="n"/>
      <c r="M25" s="11" t="n"/>
      <c r="N25" s="11" t="n"/>
      <c r="O25" s="11" t="n"/>
    </row>
    <row r="26">
      <c r="A26" s="21" t="n"/>
      <c r="B26" s="11" t="n"/>
      <c r="C26" s="11" t="n"/>
      <c r="D26" s="11" t="n"/>
      <c r="E26" s="11" t="n"/>
      <c r="F26" s="22">
        <f>IF(A26="","",SUM(C26:E26))</f>
        <v/>
      </c>
      <c r="G26" s="11" t="n"/>
      <c r="H26" s="23">
        <f>IF(OR(A26="",N(C26)=0),"",G26/C26)</f>
        <v/>
      </c>
      <c r="I26" s="11" t="n"/>
      <c r="J26" s="11" t="n"/>
      <c r="K26" s="12" t="n"/>
      <c r="L26" s="12" t="n"/>
      <c r="M26" s="11" t="n"/>
      <c r="N26" s="11" t="n"/>
      <c r="O26" s="11" t="n"/>
    </row>
    <row r="27">
      <c r="A27" s="21" t="n"/>
      <c r="B27" s="11" t="n"/>
      <c r="C27" s="11" t="n"/>
      <c r="D27" s="11" t="n"/>
      <c r="E27" s="11" t="n"/>
      <c r="F27" s="22">
        <f>IF(A27="","",SUM(C27:E27))</f>
        <v/>
      </c>
      <c r="G27" s="11" t="n"/>
      <c r="H27" s="23">
        <f>IF(OR(A27="",N(C27)=0),"",G27/C27)</f>
        <v/>
      </c>
      <c r="I27" s="11" t="n"/>
      <c r="J27" s="11" t="n"/>
      <c r="K27" s="12" t="n"/>
      <c r="L27" s="12" t="n"/>
      <c r="M27" s="11" t="n"/>
      <c r="N27" s="11" t="n"/>
      <c r="O27" s="11" t="n"/>
    </row>
    <row r="28">
      <c r="A28" s="21" t="n"/>
      <c r="B28" s="11" t="n"/>
      <c r="C28" s="11" t="n"/>
      <c r="D28" s="11" t="n"/>
      <c r="E28" s="11" t="n"/>
      <c r="F28" s="22">
        <f>IF(A28="","",SUM(C28:E28))</f>
        <v/>
      </c>
      <c r="G28" s="11" t="n"/>
      <c r="H28" s="23">
        <f>IF(OR(A28="",N(C28)=0),"",G28/C28)</f>
        <v/>
      </c>
      <c r="I28" s="11" t="n"/>
      <c r="J28" s="11" t="n"/>
      <c r="K28" s="12" t="n"/>
      <c r="L28" s="12" t="n"/>
      <c r="M28" s="11" t="n"/>
      <c r="N28" s="11" t="n"/>
      <c r="O28" s="11" t="n"/>
    </row>
    <row r="29">
      <c r="A29" s="21" t="n"/>
      <c r="B29" s="11" t="n"/>
      <c r="C29" s="11" t="n"/>
      <c r="D29" s="11" t="n"/>
      <c r="E29" s="11" t="n"/>
      <c r="F29" s="22">
        <f>IF(A29="","",SUM(C29:E29))</f>
        <v/>
      </c>
      <c r="G29" s="11" t="n"/>
      <c r="H29" s="23">
        <f>IF(OR(A29="",N(C29)=0),"",G29/C29)</f>
        <v/>
      </c>
      <c r="I29" s="11" t="n"/>
      <c r="J29" s="11" t="n"/>
      <c r="K29" s="12" t="n"/>
      <c r="L29" s="12" t="n"/>
      <c r="M29" s="11" t="n"/>
      <c r="N29" s="11" t="n"/>
      <c r="O29" s="11" t="n"/>
    </row>
    <row r="30">
      <c r="A30" s="21" t="n"/>
      <c r="B30" s="11" t="n"/>
      <c r="C30" s="11" t="n"/>
      <c r="D30" s="11" t="n"/>
      <c r="E30" s="11" t="n"/>
      <c r="F30" s="22">
        <f>IF(A30="","",SUM(C30:E30))</f>
        <v/>
      </c>
      <c r="G30" s="11" t="n"/>
      <c r="H30" s="23">
        <f>IF(OR(A30="",N(C30)=0),"",G30/C30)</f>
        <v/>
      </c>
      <c r="I30" s="11" t="n"/>
      <c r="J30" s="11" t="n"/>
      <c r="K30" s="12" t="n"/>
      <c r="L30" s="12" t="n"/>
      <c r="M30" s="11" t="n"/>
      <c r="N30" s="11" t="n"/>
      <c r="O30" s="11" t="n"/>
    </row>
    <row r="31">
      <c r="A31" s="21" t="n"/>
      <c r="B31" s="11" t="n"/>
      <c r="C31" s="11" t="n"/>
      <c r="D31" s="11" t="n"/>
      <c r="E31" s="11" t="n"/>
      <c r="F31" s="22">
        <f>IF(A31="","",SUM(C31:E31))</f>
        <v/>
      </c>
      <c r="G31" s="11" t="n"/>
      <c r="H31" s="23">
        <f>IF(OR(A31="",N(C31)=0),"",G31/C31)</f>
        <v/>
      </c>
      <c r="I31" s="11" t="n"/>
      <c r="J31" s="11" t="n"/>
      <c r="K31" s="12" t="n"/>
      <c r="L31" s="12" t="n"/>
      <c r="M31" s="11" t="n"/>
      <c r="N31" s="11" t="n"/>
      <c r="O31" s="11" t="n"/>
    </row>
    <row r="32">
      <c r="A32" s="21" t="n"/>
      <c r="B32" s="11" t="n"/>
      <c r="C32" s="11" t="n"/>
      <c r="D32" s="11" t="n"/>
      <c r="E32" s="11" t="n"/>
      <c r="F32" s="22">
        <f>IF(A32="","",SUM(C32:E32))</f>
        <v/>
      </c>
      <c r="G32" s="11" t="n"/>
      <c r="H32" s="23">
        <f>IF(OR(A32="",N(C32)=0),"",G32/C32)</f>
        <v/>
      </c>
      <c r="I32" s="11" t="n"/>
      <c r="J32" s="11" t="n"/>
      <c r="K32" s="12" t="n"/>
      <c r="L32" s="12" t="n"/>
      <c r="M32" s="11" t="n"/>
      <c r="N32" s="11" t="n"/>
      <c r="O32" s="11" t="n"/>
    </row>
    <row r="33">
      <c r="A33" s="21" t="n"/>
      <c r="B33" s="11" t="n"/>
      <c r="C33" s="11" t="n"/>
      <c r="D33" s="11" t="n"/>
      <c r="E33" s="11" t="n"/>
      <c r="F33" s="22">
        <f>IF(A33="","",SUM(C33:E33))</f>
        <v/>
      </c>
      <c r="G33" s="11" t="n"/>
      <c r="H33" s="23">
        <f>IF(OR(A33="",N(C33)=0),"",G33/C33)</f>
        <v/>
      </c>
      <c r="I33" s="11" t="n"/>
      <c r="J33" s="11" t="n"/>
      <c r="K33" s="12" t="n"/>
      <c r="L33" s="12" t="n"/>
      <c r="M33" s="11" t="n"/>
      <c r="N33" s="11" t="n"/>
      <c r="O33" s="11" t="n"/>
    </row>
    <row r="34">
      <c r="A34" s="21" t="n"/>
      <c r="B34" s="11" t="n"/>
      <c r="C34" s="11" t="n"/>
      <c r="D34" s="11" t="n"/>
      <c r="E34" s="11" t="n"/>
      <c r="F34" s="22">
        <f>IF(A34="","",SUM(C34:E34))</f>
        <v/>
      </c>
      <c r="G34" s="11" t="n"/>
      <c r="H34" s="23">
        <f>IF(OR(A34="",N(C34)=0),"",G34/C34)</f>
        <v/>
      </c>
      <c r="I34" s="11" t="n"/>
      <c r="J34" s="11" t="n"/>
      <c r="K34" s="12" t="n"/>
      <c r="L34" s="12" t="n"/>
      <c r="M34" s="11" t="n"/>
      <c r="N34" s="11" t="n"/>
      <c r="O34" s="11" t="n"/>
    </row>
    <row r="35">
      <c r="A35" s="21" t="n"/>
      <c r="B35" s="11" t="n"/>
      <c r="C35" s="11" t="n"/>
      <c r="D35" s="11" t="n"/>
      <c r="E35" s="11" t="n"/>
      <c r="F35" s="22">
        <f>IF(A35="","",SUM(C35:E35))</f>
        <v/>
      </c>
      <c r="G35" s="11" t="n"/>
      <c r="H35" s="23">
        <f>IF(OR(A35="",N(C35)=0),"",G35/C35)</f>
        <v/>
      </c>
      <c r="I35" s="11" t="n"/>
      <c r="J35" s="11" t="n"/>
      <c r="K35" s="12" t="n"/>
      <c r="L35" s="12" t="n"/>
      <c r="M35" s="11" t="n"/>
      <c r="N35" s="11" t="n"/>
      <c r="O35" s="11" t="n"/>
    </row>
    <row r="36">
      <c r="A36" s="21" t="n"/>
      <c r="B36" s="11" t="n"/>
      <c r="C36" s="11" t="n"/>
      <c r="D36" s="11" t="n"/>
      <c r="E36" s="11" t="n"/>
      <c r="F36" s="22">
        <f>IF(A36="","",SUM(C36:E36))</f>
        <v/>
      </c>
      <c r="G36" s="11" t="n"/>
      <c r="H36" s="23">
        <f>IF(OR(A36="",N(C36)=0),"",G36/C36)</f>
        <v/>
      </c>
      <c r="I36" s="11" t="n"/>
      <c r="J36" s="11" t="n"/>
      <c r="K36" s="12" t="n"/>
      <c r="L36" s="12" t="n"/>
      <c r="M36" s="11" t="n"/>
      <c r="N36" s="11" t="n"/>
      <c r="O36" s="11" t="n"/>
    </row>
    <row r="37">
      <c r="A37" s="21" t="n"/>
      <c r="B37" s="11" t="n"/>
      <c r="C37" s="11" t="n"/>
      <c r="D37" s="11" t="n"/>
      <c r="E37" s="11" t="n"/>
      <c r="F37" s="22">
        <f>IF(A37="","",SUM(C37:E37))</f>
        <v/>
      </c>
      <c r="G37" s="11" t="n"/>
      <c r="H37" s="23">
        <f>IF(OR(A37="",N(C37)=0),"",G37/C37)</f>
        <v/>
      </c>
      <c r="I37" s="11" t="n"/>
      <c r="J37" s="11" t="n"/>
      <c r="K37" s="12" t="n"/>
      <c r="L37" s="12" t="n"/>
      <c r="M37" s="11" t="n"/>
      <c r="N37" s="11" t="n"/>
      <c r="O37" s="11" t="n"/>
    </row>
    <row r="38">
      <c r="A38" s="21" t="n"/>
      <c r="B38" s="11" t="n"/>
      <c r="C38" s="11" t="n"/>
      <c r="D38" s="11" t="n"/>
      <c r="E38" s="11" t="n"/>
      <c r="F38" s="22">
        <f>IF(A38="","",SUM(C38:E38))</f>
        <v/>
      </c>
      <c r="G38" s="11" t="n"/>
      <c r="H38" s="23">
        <f>IF(OR(A38="",N(C38)=0),"",G38/C38)</f>
        <v/>
      </c>
      <c r="I38" s="11" t="n"/>
      <c r="J38" s="11" t="n"/>
      <c r="K38" s="12" t="n"/>
      <c r="L38" s="12" t="n"/>
      <c r="M38" s="11" t="n"/>
      <c r="N38" s="11" t="n"/>
      <c r="O38" s="11" t="n"/>
    </row>
    <row r="39">
      <c r="A39" s="21" t="n"/>
      <c r="B39" s="11" t="n"/>
      <c r="C39" s="11" t="n"/>
      <c r="D39" s="11" t="n"/>
      <c r="E39" s="11" t="n"/>
      <c r="F39" s="22">
        <f>IF(A39="","",SUM(C39:E39))</f>
        <v/>
      </c>
      <c r="G39" s="11" t="n"/>
      <c r="H39" s="23">
        <f>IF(OR(A39="",N(C39)=0),"",G39/C39)</f>
        <v/>
      </c>
      <c r="I39" s="11" t="n"/>
      <c r="J39" s="11" t="n"/>
      <c r="K39" s="12" t="n"/>
      <c r="L39" s="12" t="n"/>
      <c r="M39" s="11" t="n"/>
      <c r="N39" s="11" t="n"/>
      <c r="O39" s="11" t="n"/>
    </row>
    <row r="40">
      <c r="A40" s="21" t="n"/>
      <c r="B40" s="11" t="n"/>
      <c r="C40" s="11" t="n"/>
      <c r="D40" s="11" t="n"/>
      <c r="E40" s="11" t="n"/>
      <c r="F40" s="22">
        <f>IF(A40="","",SUM(C40:E40))</f>
        <v/>
      </c>
      <c r="G40" s="11" t="n"/>
      <c r="H40" s="23">
        <f>IF(OR(A40="",N(C40)=0),"",G40/C40)</f>
        <v/>
      </c>
      <c r="I40" s="11" t="n"/>
      <c r="J40" s="11" t="n"/>
      <c r="K40" s="12" t="n"/>
      <c r="L40" s="12" t="n"/>
      <c r="M40" s="11" t="n"/>
      <c r="N40" s="11" t="n"/>
      <c r="O40" s="11" t="n"/>
    </row>
    <row r="41">
      <c r="A41" s="21" t="n"/>
      <c r="B41" s="11" t="n"/>
      <c r="C41" s="11" t="n"/>
      <c r="D41" s="11" t="n"/>
      <c r="E41" s="11" t="n"/>
      <c r="F41" s="22">
        <f>IF(A41="","",SUM(C41:E41))</f>
        <v/>
      </c>
      <c r="G41" s="11" t="n"/>
      <c r="H41" s="23">
        <f>IF(OR(A41="",N(C41)=0),"",G41/C41)</f>
        <v/>
      </c>
      <c r="I41" s="11" t="n"/>
      <c r="J41" s="11" t="n"/>
      <c r="K41" s="12" t="n"/>
      <c r="L41" s="12" t="n"/>
      <c r="M41" s="11" t="n"/>
      <c r="N41" s="11" t="n"/>
      <c r="O41" s="11" t="n"/>
    </row>
    <row r="42">
      <c r="A42" s="21" t="n"/>
      <c r="B42" s="11" t="n"/>
      <c r="C42" s="11" t="n"/>
      <c r="D42" s="11" t="n"/>
      <c r="E42" s="11" t="n"/>
      <c r="F42" s="22">
        <f>IF(A42="","",SUM(C42:E42))</f>
        <v/>
      </c>
      <c r="G42" s="11" t="n"/>
      <c r="H42" s="23">
        <f>IF(OR(A42="",N(C42)=0),"",G42/C42)</f>
        <v/>
      </c>
      <c r="I42" s="11" t="n"/>
      <c r="J42" s="11" t="n"/>
      <c r="K42" s="12" t="n"/>
      <c r="L42" s="12" t="n"/>
      <c r="M42" s="11" t="n"/>
      <c r="N42" s="11" t="n"/>
      <c r="O42" s="11" t="n"/>
    </row>
    <row r="43">
      <c r="A43" s="21" t="n"/>
      <c r="B43" s="11" t="n"/>
      <c r="C43" s="11" t="n"/>
      <c r="D43" s="11" t="n"/>
      <c r="E43" s="11" t="n"/>
      <c r="F43" s="22">
        <f>IF(A43="","",SUM(C43:E43))</f>
        <v/>
      </c>
      <c r="G43" s="11" t="n"/>
      <c r="H43" s="23">
        <f>IF(OR(A43="",N(C43)=0),"",G43/C43)</f>
        <v/>
      </c>
      <c r="I43" s="11" t="n"/>
      <c r="J43" s="11" t="n"/>
      <c r="K43" s="12" t="n"/>
      <c r="L43" s="12" t="n"/>
      <c r="M43" s="11" t="n"/>
      <c r="N43" s="11" t="n"/>
      <c r="O43" s="11" t="n"/>
    </row>
    <row r="44">
      <c r="A44" s="21" t="n"/>
      <c r="B44" s="11" t="n"/>
      <c r="C44" s="11" t="n"/>
      <c r="D44" s="11" t="n"/>
      <c r="E44" s="11" t="n"/>
      <c r="F44" s="22">
        <f>IF(A44="","",SUM(C44:E44))</f>
        <v/>
      </c>
      <c r="G44" s="11" t="n"/>
      <c r="H44" s="23">
        <f>IF(OR(A44="",N(C44)=0),"",G44/C44)</f>
        <v/>
      </c>
      <c r="I44" s="11" t="n"/>
      <c r="J44" s="11" t="n"/>
      <c r="K44" s="12" t="n"/>
      <c r="L44" s="12" t="n"/>
      <c r="M44" s="11" t="n"/>
      <c r="N44" s="11" t="n"/>
      <c r="O44" s="11" t="n"/>
    </row>
    <row r="45">
      <c r="A45" s="21" t="n"/>
      <c r="B45" s="11" t="n"/>
      <c r="C45" s="11" t="n"/>
      <c r="D45" s="11" t="n"/>
      <c r="E45" s="11" t="n"/>
      <c r="F45" s="22">
        <f>IF(A45="","",SUM(C45:E45))</f>
        <v/>
      </c>
      <c r="G45" s="11" t="n"/>
      <c r="H45" s="23">
        <f>IF(OR(A45="",N(C45)=0),"",G45/C45)</f>
        <v/>
      </c>
      <c r="I45" s="11" t="n"/>
      <c r="J45" s="11" t="n"/>
      <c r="K45" s="12" t="n"/>
      <c r="L45" s="12" t="n"/>
      <c r="M45" s="11" t="n"/>
      <c r="N45" s="11" t="n"/>
      <c r="O45" s="11" t="n"/>
    </row>
    <row r="46">
      <c r="A46" s="21" t="n"/>
      <c r="B46" s="11" t="n"/>
      <c r="C46" s="11" t="n"/>
      <c r="D46" s="11" t="n"/>
      <c r="E46" s="11" t="n"/>
      <c r="F46" s="22">
        <f>IF(A46="","",SUM(C46:E46))</f>
        <v/>
      </c>
      <c r="G46" s="11" t="n"/>
      <c r="H46" s="23">
        <f>IF(OR(A46="",N(C46)=0),"",G46/C46)</f>
        <v/>
      </c>
      <c r="I46" s="11" t="n"/>
      <c r="J46" s="11" t="n"/>
      <c r="K46" s="12" t="n"/>
      <c r="L46" s="12" t="n"/>
      <c r="M46" s="11" t="n"/>
      <c r="N46" s="11" t="n"/>
      <c r="O46" s="11" t="n"/>
    </row>
    <row r="47">
      <c r="A47" s="21" t="n"/>
      <c r="B47" s="11" t="n"/>
      <c r="C47" s="11" t="n"/>
      <c r="D47" s="11" t="n"/>
      <c r="E47" s="11" t="n"/>
      <c r="F47" s="22">
        <f>IF(A47="","",SUM(C47:E47))</f>
        <v/>
      </c>
      <c r="G47" s="11" t="n"/>
      <c r="H47" s="23">
        <f>IF(OR(A47="",N(C47)=0),"",G47/C47)</f>
        <v/>
      </c>
      <c r="I47" s="11" t="n"/>
      <c r="J47" s="11" t="n"/>
      <c r="K47" s="12" t="n"/>
      <c r="L47" s="12" t="n"/>
      <c r="M47" s="11" t="n"/>
      <c r="N47" s="11" t="n"/>
      <c r="O47" s="11" t="n"/>
    </row>
    <row r="48">
      <c r="A48" s="21" t="n"/>
      <c r="B48" s="11" t="n"/>
      <c r="C48" s="11" t="n"/>
      <c r="D48" s="11" t="n"/>
      <c r="E48" s="11" t="n"/>
      <c r="F48" s="22">
        <f>IF(A48="","",SUM(C48:E48))</f>
        <v/>
      </c>
      <c r="G48" s="11" t="n"/>
      <c r="H48" s="23">
        <f>IF(OR(A48="",N(C48)=0),"",G48/C48)</f>
        <v/>
      </c>
      <c r="I48" s="11" t="n"/>
      <c r="J48" s="11" t="n"/>
      <c r="K48" s="12" t="n"/>
      <c r="L48" s="12" t="n"/>
      <c r="M48" s="11" t="n"/>
      <c r="N48" s="11" t="n"/>
      <c r="O48" s="11" t="n"/>
    </row>
    <row r="49">
      <c r="A49" s="21" t="n"/>
      <c r="B49" s="11" t="n"/>
      <c r="C49" s="11" t="n"/>
      <c r="D49" s="11" t="n"/>
      <c r="E49" s="11" t="n"/>
      <c r="F49" s="22">
        <f>IF(A49="","",SUM(C49:E49))</f>
        <v/>
      </c>
      <c r="G49" s="11" t="n"/>
      <c r="H49" s="23">
        <f>IF(OR(A49="",N(C49)=0),"",G49/C49)</f>
        <v/>
      </c>
      <c r="I49" s="11" t="n"/>
      <c r="J49" s="11" t="n"/>
      <c r="K49" s="12" t="n"/>
      <c r="L49" s="12" t="n"/>
      <c r="M49" s="11" t="n"/>
      <c r="N49" s="11" t="n"/>
      <c r="O49" s="11" t="n"/>
    </row>
    <row r="50">
      <c r="A50" s="21" t="n"/>
      <c r="B50" s="11" t="n"/>
      <c r="C50" s="11" t="n"/>
      <c r="D50" s="11" t="n"/>
      <c r="E50" s="11" t="n"/>
      <c r="F50" s="22">
        <f>IF(A50="","",SUM(C50:E50))</f>
        <v/>
      </c>
      <c r="G50" s="11" t="n"/>
      <c r="H50" s="23">
        <f>IF(OR(A50="",N(C50)=0),"",G50/C50)</f>
        <v/>
      </c>
      <c r="I50" s="11" t="n"/>
      <c r="J50" s="11" t="n"/>
      <c r="K50" s="12" t="n"/>
      <c r="L50" s="12" t="n"/>
      <c r="M50" s="11" t="n"/>
      <c r="N50" s="11" t="n"/>
      <c r="O50" s="11" t="n"/>
    </row>
    <row r="51">
      <c r="A51" s="21" t="n"/>
      <c r="B51" s="11" t="n"/>
      <c r="C51" s="11" t="n"/>
      <c r="D51" s="11" t="n"/>
      <c r="E51" s="11" t="n"/>
      <c r="F51" s="22">
        <f>IF(A51="","",SUM(C51:E51))</f>
        <v/>
      </c>
      <c r="G51" s="11" t="n"/>
      <c r="H51" s="23">
        <f>IF(OR(A51="",N(C51)=0),"",G51/C51)</f>
        <v/>
      </c>
      <c r="I51" s="11" t="n"/>
      <c r="J51" s="11" t="n"/>
      <c r="K51" s="12" t="n"/>
      <c r="L51" s="12" t="n"/>
      <c r="M51" s="11" t="n"/>
      <c r="N51" s="11" t="n"/>
      <c r="O51" s="11" t="n"/>
    </row>
    <row r="52">
      <c r="A52" s="21" t="n"/>
      <c r="B52" s="11" t="n"/>
      <c r="C52" s="11" t="n"/>
      <c r="D52" s="11" t="n"/>
      <c r="E52" s="11" t="n"/>
      <c r="F52" s="22">
        <f>IF(A52="","",SUM(C52:E52))</f>
        <v/>
      </c>
      <c r="G52" s="11" t="n"/>
      <c r="H52" s="23">
        <f>IF(OR(A52="",N(C52)=0),"",G52/C52)</f>
        <v/>
      </c>
      <c r="I52" s="11" t="n"/>
      <c r="J52" s="11" t="n"/>
      <c r="K52" s="12" t="n"/>
      <c r="L52" s="12" t="n"/>
      <c r="M52" s="11" t="n"/>
      <c r="N52" s="11" t="n"/>
      <c r="O52" s="11" t="n"/>
    </row>
    <row r="53">
      <c r="A53" s="21" t="n"/>
      <c r="B53" s="11" t="n"/>
      <c r="C53" s="11" t="n"/>
      <c r="D53" s="11" t="n"/>
      <c r="E53" s="11" t="n"/>
      <c r="F53" s="22">
        <f>IF(A53="","",SUM(C53:E53))</f>
        <v/>
      </c>
      <c r="G53" s="11" t="n"/>
      <c r="H53" s="23">
        <f>IF(OR(A53="",N(C53)=0),"",G53/C53)</f>
        <v/>
      </c>
      <c r="I53" s="11" t="n"/>
      <c r="J53" s="11" t="n"/>
      <c r="K53" s="12" t="n"/>
      <c r="L53" s="12" t="n"/>
      <c r="M53" s="11" t="n"/>
      <c r="N53" s="11" t="n"/>
      <c r="O53" s="11" t="n"/>
    </row>
    <row r="54">
      <c r="A54" s="21" t="n"/>
      <c r="B54" s="11" t="n"/>
      <c r="C54" s="11" t="n"/>
      <c r="D54" s="11" t="n"/>
      <c r="E54" s="11" t="n"/>
      <c r="F54" s="22">
        <f>IF(A54="","",SUM(C54:E54))</f>
        <v/>
      </c>
      <c r="G54" s="11" t="n"/>
      <c r="H54" s="23">
        <f>IF(OR(A54="",N(C54)=0),"",G54/C54)</f>
        <v/>
      </c>
      <c r="I54" s="11" t="n"/>
      <c r="J54" s="11" t="n"/>
      <c r="K54" s="12" t="n"/>
      <c r="L54" s="12" t="n"/>
      <c r="M54" s="11" t="n"/>
      <c r="N54" s="11" t="n"/>
      <c r="O54" s="11" t="n"/>
    </row>
    <row r="55">
      <c r="A55" s="21" t="n"/>
      <c r="B55" s="11" t="n"/>
      <c r="C55" s="11" t="n"/>
      <c r="D55" s="11" t="n"/>
      <c r="E55" s="11" t="n"/>
      <c r="F55" s="22">
        <f>IF(A55="","",SUM(C55:E55))</f>
        <v/>
      </c>
      <c r="G55" s="11" t="n"/>
      <c r="H55" s="23">
        <f>IF(OR(A55="",N(C55)=0),"",G55/C55)</f>
        <v/>
      </c>
      <c r="I55" s="11" t="n"/>
      <c r="J55" s="11" t="n"/>
      <c r="K55" s="12" t="n"/>
      <c r="L55" s="12" t="n"/>
      <c r="M55" s="11" t="n"/>
      <c r="N55" s="11" t="n"/>
      <c r="O55" s="11" t="n"/>
    </row>
    <row r="56">
      <c r="A56" s="21" t="n"/>
      <c r="B56" s="11" t="n"/>
      <c r="C56" s="11" t="n"/>
      <c r="D56" s="11" t="n"/>
      <c r="E56" s="11" t="n"/>
      <c r="F56" s="22">
        <f>IF(A56="","",SUM(C56:E56))</f>
        <v/>
      </c>
      <c r="G56" s="11" t="n"/>
      <c r="H56" s="23">
        <f>IF(OR(A56="",N(C56)=0),"",G56/C56)</f>
        <v/>
      </c>
      <c r="I56" s="11" t="n"/>
      <c r="J56" s="11" t="n"/>
      <c r="K56" s="12" t="n"/>
      <c r="L56" s="12" t="n"/>
      <c r="M56" s="11" t="n"/>
      <c r="N56" s="11" t="n"/>
      <c r="O56" s="11" t="n"/>
    </row>
    <row r="57">
      <c r="A57" s="21" t="n"/>
      <c r="B57" s="11" t="n"/>
      <c r="C57" s="11" t="n"/>
      <c r="D57" s="11" t="n"/>
      <c r="E57" s="11" t="n"/>
      <c r="F57" s="22">
        <f>IF(A57="","",SUM(C57:E57))</f>
        <v/>
      </c>
      <c r="G57" s="11" t="n"/>
      <c r="H57" s="23">
        <f>IF(OR(A57="",N(C57)=0),"",G57/C57)</f>
        <v/>
      </c>
      <c r="I57" s="11" t="n"/>
      <c r="J57" s="11" t="n"/>
      <c r="K57" s="12" t="n"/>
      <c r="L57" s="12" t="n"/>
      <c r="M57" s="11" t="n"/>
      <c r="N57" s="11" t="n"/>
      <c r="O57" s="11" t="n"/>
    </row>
    <row r="58">
      <c r="A58" s="21" t="n"/>
      <c r="B58" s="11" t="n"/>
      <c r="C58" s="11" t="n"/>
      <c r="D58" s="11" t="n"/>
      <c r="E58" s="11" t="n"/>
      <c r="F58" s="22">
        <f>IF(A58="","",SUM(C58:E58))</f>
        <v/>
      </c>
      <c r="G58" s="11" t="n"/>
      <c r="H58" s="23">
        <f>IF(OR(A58="",N(C58)=0),"",G58/C58)</f>
        <v/>
      </c>
      <c r="I58" s="11" t="n"/>
      <c r="J58" s="11" t="n"/>
      <c r="K58" s="12" t="n"/>
      <c r="L58" s="12" t="n"/>
      <c r="M58" s="11" t="n"/>
      <c r="N58" s="11" t="n"/>
      <c r="O58" s="11" t="n"/>
    </row>
    <row r="59">
      <c r="A59" s="21" t="n"/>
      <c r="B59" s="11" t="n"/>
      <c r="C59" s="11" t="n"/>
      <c r="D59" s="11" t="n"/>
      <c r="E59" s="11" t="n"/>
      <c r="F59" s="22">
        <f>IF(A59="","",SUM(C59:E59))</f>
        <v/>
      </c>
      <c r="G59" s="11" t="n"/>
      <c r="H59" s="23">
        <f>IF(OR(A59="",N(C59)=0),"",G59/C59)</f>
        <v/>
      </c>
      <c r="I59" s="11" t="n"/>
      <c r="J59" s="11" t="n"/>
      <c r="K59" s="12" t="n"/>
      <c r="L59" s="12" t="n"/>
      <c r="M59" s="11" t="n"/>
      <c r="N59" s="11" t="n"/>
      <c r="O59" s="11" t="n"/>
    </row>
    <row r="60">
      <c r="A60" s="21" t="n"/>
      <c r="B60" s="11" t="n"/>
      <c r="C60" s="11" t="n"/>
      <c r="D60" s="11" t="n"/>
      <c r="E60" s="11" t="n"/>
      <c r="F60" s="22">
        <f>IF(A60="","",SUM(C60:E60))</f>
        <v/>
      </c>
      <c r="G60" s="11" t="n"/>
      <c r="H60" s="23">
        <f>IF(OR(A60="",N(C60)=0),"",G60/C60)</f>
        <v/>
      </c>
      <c r="I60" s="11" t="n"/>
      <c r="J60" s="11" t="n"/>
      <c r="K60" s="12" t="n"/>
      <c r="L60" s="12" t="n"/>
      <c r="M60" s="11" t="n"/>
      <c r="N60" s="11" t="n"/>
      <c r="O60" s="11" t="n"/>
    </row>
    <row r="61">
      <c r="A61" s="21" t="n"/>
      <c r="B61" s="11" t="n"/>
      <c r="C61" s="11" t="n"/>
      <c r="D61" s="11" t="n"/>
      <c r="E61" s="11" t="n"/>
      <c r="F61" s="22">
        <f>IF(A61="","",SUM(C61:E61))</f>
        <v/>
      </c>
      <c r="G61" s="11" t="n"/>
      <c r="H61" s="23">
        <f>IF(OR(A61="",N(C61)=0),"",G61/C61)</f>
        <v/>
      </c>
      <c r="I61" s="11" t="n"/>
      <c r="J61" s="11" t="n"/>
      <c r="K61" s="12" t="n"/>
      <c r="L61" s="12" t="n"/>
      <c r="M61" s="11" t="n"/>
      <c r="N61" s="11" t="n"/>
      <c r="O61" s="11" t="n"/>
    </row>
    <row r="62">
      <c r="A62" s="21" t="n"/>
      <c r="B62" s="11" t="n"/>
      <c r="C62" s="11" t="n"/>
      <c r="D62" s="11" t="n"/>
      <c r="E62" s="11" t="n"/>
      <c r="F62" s="22">
        <f>IF(A62="","",SUM(C62:E62))</f>
        <v/>
      </c>
      <c r="G62" s="11" t="n"/>
      <c r="H62" s="23">
        <f>IF(OR(A62="",N(C62)=0),"",G62/C62)</f>
        <v/>
      </c>
      <c r="I62" s="11" t="n"/>
      <c r="J62" s="11" t="n"/>
      <c r="K62" s="12" t="n"/>
      <c r="L62" s="12" t="n"/>
      <c r="M62" s="11" t="n"/>
      <c r="N62" s="11" t="n"/>
      <c r="O62" s="11" t="n"/>
    </row>
    <row r="63">
      <c r="A63" s="21" t="n"/>
      <c r="B63" s="11" t="n"/>
      <c r="C63" s="11" t="n"/>
      <c r="D63" s="11" t="n"/>
      <c r="E63" s="11" t="n"/>
      <c r="F63" s="22">
        <f>IF(A63="","",SUM(C63:E63))</f>
        <v/>
      </c>
      <c r="G63" s="11" t="n"/>
      <c r="H63" s="23">
        <f>IF(OR(A63="",N(C63)=0),"",G63/C63)</f>
        <v/>
      </c>
      <c r="I63" s="11" t="n"/>
      <c r="J63" s="11" t="n"/>
      <c r="K63" s="12" t="n"/>
      <c r="L63" s="12" t="n"/>
      <c r="M63" s="11" t="n"/>
      <c r="N63" s="11" t="n"/>
      <c r="O63" s="11" t="n"/>
    </row>
    <row r="64">
      <c r="A64" s="21" t="n"/>
      <c r="B64" s="11" t="n"/>
      <c r="C64" s="11" t="n"/>
      <c r="D64" s="11" t="n"/>
      <c r="E64" s="11" t="n"/>
      <c r="F64" s="22">
        <f>IF(A64="","",SUM(C64:E64))</f>
        <v/>
      </c>
      <c r="G64" s="11" t="n"/>
      <c r="H64" s="23">
        <f>IF(OR(A64="",N(C64)=0),"",G64/C64)</f>
        <v/>
      </c>
      <c r="I64" s="11" t="n"/>
      <c r="J64" s="11" t="n"/>
      <c r="K64" s="12" t="n"/>
      <c r="L64" s="12" t="n"/>
      <c r="M64" s="11" t="n"/>
      <c r="N64" s="11" t="n"/>
      <c r="O64" s="11" t="n"/>
    </row>
    <row r="65">
      <c r="A65" s="21" t="n"/>
      <c r="B65" s="11" t="n"/>
      <c r="C65" s="11" t="n"/>
      <c r="D65" s="11" t="n"/>
      <c r="E65" s="11" t="n"/>
      <c r="F65" s="22">
        <f>IF(A65="","",SUM(C65:E65))</f>
        <v/>
      </c>
      <c r="G65" s="11" t="n"/>
      <c r="H65" s="23">
        <f>IF(OR(A65="",N(C65)=0),"",G65/C65)</f>
        <v/>
      </c>
      <c r="I65" s="11" t="n"/>
      <c r="J65" s="11" t="n"/>
      <c r="K65" s="12" t="n"/>
      <c r="L65" s="12" t="n"/>
      <c r="M65" s="11" t="n"/>
      <c r="N65" s="11" t="n"/>
      <c r="O65" s="11" t="n"/>
    </row>
    <row r="66">
      <c r="A66" s="21" t="n"/>
      <c r="B66" s="11" t="n"/>
      <c r="C66" s="11" t="n"/>
      <c r="D66" s="11" t="n"/>
      <c r="E66" s="11" t="n"/>
      <c r="F66" s="22">
        <f>IF(A66="","",SUM(C66:E66))</f>
        <v/>
      </c>
      <c r="G66" s="11" t="n"/>
      <c r="H66" s="23">
        <f>IF(OR(A66="",N(C66)=0),"",G66/C66)</f>
        <v/>
      </c>
      <c r="I66" s="11" t="n"/>
      <c r="J66" s="11" t="n"/>
      <c r="K66" s="12" t="n"/>
      <c r="L66" s="12" t="n"/>
      <c r="M66" s="11" t="n"/>
      <c r="N66" s="11" t="n"/>
      <c r="O66" s="11" t="n"/>
    </row>
    <row r="67">
      <c r="A67" s="21" t="n"/>
      <c r="B67" s="11" t="n"/>
      <c r="C67" s="11" t="n"/>
      <c r="D67" s="11" t="n"/>
      <c r="E67" s="11" t="n"/>
      <c r="F67" s="22">
        <f>IF(A67="","",SUM(C67:E67))</f>
        <v/>
      </c>
      <c r="G67" s="11" t="n"/>
      <c r="H67" s="23">
        <f>IF(OR(A67="",N(C67)=0),"",G67/C67)</f>
        <v/>
      </c>
      <c r="I67" s="11" t="n"/>
      <c r="J67" s="11" t="n"/>
      <c r="K67" s="12" t="n"/>
      <c r="L67" s="12" t="n"/>
      <c r="M67" s="11" t="n"/>
      <c r="N67" s="11" t="n"/>
      <c r="O67" s="11" t="n"/>
    </row>
    <row r="68">
      <c r="A68" s="21" t="n"/>
      <c r="B68" s="11" t="n"/>
      <c r="C68" s="11" t="n"/>
      <c r="D68" s="11" t="n"/>
      <c r="E68" s="11" t="n"/>
      <c r="F68" s="22">
        <f>IF(A68="","",SUM(C68:E68))</f>
        <v/>
      </c>
      <c r="G68" s="11" t="n"/>
      <c r="H68" s="23">
        <f>IF(OR(A68="",N(C68)=0),"",G68/C68)</f>
        <v/>
      </c>
      <c r="I68" s="11" t="n"/>
      <c r="J68" s="11" t="n"/>
      <c r="K68" s="12" t="n"/>
      <c r="L68" s="12" t="n"/>
      <c r="M68" s="11" t="n"/>
      <c r="N68" s="11" t="n"/>
      <c r="O68" s="11" t="n"/>
    </row>
    <row r="69">
      <c r="A69" s="21" t="n"/>
      <c r="B69" s="11" t="n"/>
      <c r="C69" s="11" t="n"/>
      <c r="D69" s="11" t="n"/>
      <c r="E69" s="11" t="n"/>
      <c r="F69" s="22">
        <f>IF(A69="","",SUM(C69:E69))</f>
        <v/>
      </c>
      <c r="G69" s="11" t="n"/>
      <c r="H69" s="23">
        <f>IF(OR(A69="",N(C69)=0),"",G69/C69)</f>
        <v/>
      </c>
      <c r="I69" s="11" t="n"/>
      <c r="J69" s="11" t="n"/>
      <c r="K69" s="12" t="n"/>
      <c r="L69" s="12" t="n"/>
      <c r="M69" s="11" t="n"/>
      <c r="N69" s="11" t="n"/>
      <c r="O69" s="11" t="n"/>
    </row>
    <row r="70">
      <c r="A70" s="21" t="n"/>
      <c r="B70" s="11" t="n"/>
      <c r="C70" s="11" t="n"/>
      <c r="D70" s="11" t="n"/>
      <c r="E70" s="11" t="n"/>
      <c r="F70" s="22">
        <f>IF(A70="","",SUM(C70:E70))</f>
        <v/>
      </c>
      <c r="G70" s="11" t="n"/>
      <c r="H70" s="23">
        <f>IF(OR(A70="",N(C70)=0),"",G70/C70)</f>
        <v/>
      </c>
      <c r="I70" s="11" t="n"/>
      <c r="J70" s="11" t="n"/>
      <c r="K70" s="12" t="n"/>
      <c r="L70" s="12" t="n"/>
      <c r="M70" s="11" t="n"/>
      <c r="N70" s="11" t="n"/>
      <c r="O70" s="11" t="n"/>
    </row>
    <row r="71">
      <c r="A71" s="21" t="n"/>
      <c r="B71" s="11" t="n"/>
      <c r="C71" s="11" t="n"/>
      <c r="D71" s="11" t="n"/>
      <c r="E71" s="11" t="n"/>
      <c r="F71" s="22">
        <f>IF(A71="","",SUM(C71:E71))</f>
        <v/>
      </c>
      <c r="G71" s="11" t="n"/>
      <c r="H71" s="23">
        <f>IF(OR(A71="",N(C71)=0),"",G71/C71)</f>
        <v/>
      </c>
      <c r="I71" s="11" t="n"/>
      <c r="J71" s="11" t="n"/>
      <c r="K71" s="12" t="n"/>
      <c r="L71" s="12" t="n"/>
      <c r="M71" s="11" t="n"/>
      <c r="N71" s="11" t="n"/>
      <c r="O71" s="11" t="n"/>
    </row>
    <row r="72">
      <c r="A72" s="21" t="n"/>
      <c r="B72" s="11" t="n"/>
      <c r="C72" s="11" t="n"/>
      <c r="D72" s="11" t="n"/>
      <c r="E72" s="11" t="n"/>
      <c r="F72" s="22">
        <f>IF(A72="","",SUM(C72:E72))</f>
        <v/>
      </c>
      <c r="G72" s="11" t="n"/>
      <c r="H72" s="23">
        <f>IF(OR(A72="",N(C72)=0),"",G72/C72)</f>
        <v/>
      </c>
      <c r="I72" s="11" t="n"/>
      <c r="J72" s="11" t="n"/>
      <c r="K72" s="12" t="n"/>
      <c r="L72" s="12" t="n"/>
      <c r="M72" s="11" t="n"/>
      <c r="N72" s="11" t="n"/>
      <c r="O72" s="11" t="n"/>
    </row>
    <row r="73">
      <c r="A73" s="21" t="n"/>
      <c r="B73" s="11" t="n"/>
      <c r="C73" s="11" t="n"/>
      <c r="D73" s="11" t="n"/>
      <c r="E73" s="11" t="n"/>
      <c r="F73" s="22">
        <f>IF(A73="","",SUM(C73:E73))</f>
        <v/>
      </c>
      <c r="G73" s="11" t="n"/>
      <c r="H73" s="23">
        <f>IF(OR(A73="",N(C73)=0),"",G73/C73)</f>
        <v/>
      </c>
      <c r="I73" s="11" t="n"/>
      <c r="J73" s="11" t="n"/>
      <c r="K73" s="12" t="n"/>
      <c r="L73" s="12" t="n"/>
      <c r="M73" s="11" t="n"/>
      <c r="N73" s="11" t="n"/>
      <c r="O73" s="11" t="n"/>
    </row>
    <row r="74">
      <c r="A74" s="21" t="n"/>
      <c r="B74" s="11" t="n"/>
      <c r="C74" s="11" t="n"/>
      <c r="D74" s="11" t="n"/>
      <c r="E74" s="11" t="n"/>
      <c r="F74" s="22">
        <f>IF(A74="","",SUM(C74:E74))</f>
        <v/>
      </c>
      <c r="G74" s="11" t="n"/>
      <c r="H74" s="23">
        <f>IF(OR(A74="",N(C74)=0),"",G74/C74)</f>
        <v/>
      </c>
      <c r="I74" s="11" t="n"/>
      <c r="J74" s="11" t="n"/>
      <c r="K74" s="12" t="n"/>
      <c r="L74" s="12" t="n"/>
      <c r="M74" s="11" t="n"/>
      <c r="N74" s="11" t="n"/>
      <c r="O74" s="11" t="n"/>
    </row>
    <row r="75">
      <c r="A75" s="21" t="n"/>
      <c r="B75" s="11" t="n"/>
      <c r="C75" s="11" t="n"/>
      <c r="D75" s="11" t="n"/>
      <c r="E75" s="11" t="n"/>
      <c r="F75" s="22">
        <f>IF(A75="","",SUM(C75:E75))</f>
        <v/>
      </c>
      <c r="G75" s="11" t="n"/>
      <c r="H75" s="23">
        <f>IF(OR(A75="",N(C75)=0),"",G75/C75)</f>
        <v/>
      </c>
      <c r="I75" s="11" t="n"/>
      <c r="J75" s="11" t="n"/>
      <c r="K75" s="12" t="n"/>
      <c r="L75" s="12" t="n"/>
      <c r="M75" s="11" t="n"/>
      <c r="N75" s="11" t="n"/>
      <c r="O75" s="11" t="n"/>
    </row>
    <row r="76">
      <c r="A76" s="21" t="n"/>
      <c r="B76" s="11" t="n"/>
      <c r="C76" s="11" t="n"/>
      <c r="D76" s="11" t="n"/>
      <c r="E76" s="11" t="n"/>
      <c r="F76" s="22">
        <f>IF(A76="","",SUM(C76:E76))</f>
        <v/>
      </c>
      <c r="G76" s="11" t="n"/>
      <c r="H76" s="23">
        <f>IF(OR(A76="",N(C76)=0),"",G76/C76)</f>
        <v/>
      </c>
      <c r="I76" s="11" t="n"/>
      <c r="J76" s="11" t="n"/>
      <c r="K76" s="12" t="n"/>
      <c r="L76" s="12" t="n"/>
      <c r="M76" s="11" t="n"/>
      <c r="N76" s="11" t="n"/>
      <c r="O76" s="11" t="n"/>
    </row>
    <row r="77">
      <c r="A77" s="21" t="n"/>
      <c r="B77" s="11" t="n"/>
      <c r="C77" s="11" t="n"/>
      <c r="D77" s="11" t="n"/>
      <c r="E77" s="11" t="n"/>
      <c r="F77" s="22">
        <f>IF(A77="","",SUM(C77:E77))</f>
        <v/>
      </c>
      <c r="G77" s="11" t="n"/>
      <c r="H77" s="23">
        <f>IF(OR(A77="",N(C77)=0),"",G77/C77)</f>
        <v/>
      </c>
      <c r="I77" s="11" t="n"/>
      <c r="J77" s="11" t="n"/>
      <c r="K77" s="12" t="n"/>
      <c r="L77" s="12" t="n"/>
      <c r="M77" s="11" t="n"/>
      <c r="N77" s="11" t="n"/>
      <c r="O77" s="11" t="n"/>
    </row>
    <row r="78">
      <c r="A78" s="21" t="n"/>
      <c r="B78" s="11" t="n"/>
      <c r="C78" s="11" t="n"/>
      <c r="D78" s="11" t="n"/>
      <c r="E78" s="11" t="n"/>
      <c r="F78" s="22">
        <f>IF(A78="","",SUM(C78:E78))</f>
        <v/>
      </c>
      <c r="G78" s="11" t="n"/>
      <c r="H78" s="23">
        <f>IF(OR(A78="",N(C78)=0),"",G78/C78)</f>
        <v/>
      </c>
      <c r="I78" s="11" t="n"/>
      <c r="J78" s="11" t="n"/>
      <c r="K78" s="12" t="n"/>
      <c r="L78" s="12" t="n"/>
      <c r="M78" s="11" t="n"/>
      <c r="N78" s="11" t="n"/>
      <c r="O78" s="11" t="n"/>
    </row>
    <row r="79">
      <c r="A79" s="21" t="n"/>
      <c r="B79" s="11" t="n"/>
      <c r="C79" s="11" t="n"/>
      <c r="D79" s="11" t="n"/>
      <c r="E79" s="11" t="n"/>
      <c r="F79" s="22">
        <f>IF(A79="","",SUM(C79:E79))</f>
        <v/>
      </c>
      <c r="G79" s="11" t="n"/>
      <c r="H79" s="23">
        <f>IF(OR(A79="",N(C79)=0),"",G79/C79)</f>
        <v/>
      </c>
      <c r="I79" s="11" t="n"/>
      <c r="J79" s="11" t="n"/>
      <c r="K79" s="12" t="n"/>
      <c r="L79" s="12" t="n"/>
      <c r="M79" s="11" t="n"/>
      <c r="N79" s="11" t="n"/>
      <c r="O79" s="11" t="n"/>
    </row>
    <row r="80">
      <c r="A80" s="21" t="n"/>
      <c r="B80" s="11" t="n"/>
      <c r="C80" s="11" t="n"/>
      <c r="D80" s="11" t="n"/>
      <c r="E80" s="11" t="n"/>
      <c r="F80" s="22">
        <f>IF(A80="","",SUM(C80:E80))</f>
        <v/>
      </c>
      <c r="G80" s="11" t="n"/>
      <c r="H80" s="23">
        <f>IF(OR(A80="",N(C80)=0),"",G80/C80)</f>
        <v/>
      </c>
      <c r="I80" s="11" t="n"/>
      <c r="J80" s="11" t="n"/>
      <c r="K80" s="12" t="n"/>
      <c r="L80" s="12" t="n"/>
      <c r="M80" s="11" t="n"/>
      <c r="N80" s="11" t="n"/>
      <c r="O80" s="11" t="n"/>
    </row>
    <row r="81">
      <c r="A81" s="21" t="n"/>
      <c r="B81" s="11" t="n"/>
      <c r="C81" s="11" t="n"/>
      <c r="D81" s="11" t="n"/>
      <c r="E81" s="11" t="n"/>
      <c r="F81" s="22">
        <f>IF(A81="","",SUM(C81:E81))</f>
        <v/>
      </c>
      <c r="G81" s="11" t="n"/>
      <c r="H81" s="23">
        <f>IF(OR(A81="",N(C81)=0),"",G81/C81)</f>
        <v/>
      </c>
      <c r="I81" s="11" t="n"/>
      <c r="J81" s="11" t="n"/>
      <c r="K81" s="12" t="n"/>
      <c r="L81" s="12" t="n"/>
      <c r="M81" s="11" t="n"/>
      <c r="N81" s="11" t="n"/>
      <c r="O81" s="11" t="n"/>
    </row>
    <row r="82">
      <c r="A82" s="21" t="n"/>
      <c r="B82" s="11" t="n"/>
      <c r="C82" s="11" t="n"/>
      <c r="D82" s="11" t="n"/>
      <c r="E82" s="11" t="n"/>
      <c r="F82" s="22">
        <f>IF(A82="","",SUM(C82:E82))</f>
        <v/>
      </c>
      <c r="G82" s="11" t="n"/>
      <c r="H82" s="23">
        <f>IF(OR(A82="",N(C82)=0),"",G82/C82)</f>
        <v/>
      </c>
      <c r="I82" s="11" t="n"/>
      <c r="J82" s="11" t="n"/>
      <c r="K82" s="12" t="n"/>
      <c r="L82" s="12" t="n"/>
      <c r="M82" s="11" t="n"/>
      <c r="N82" s="11" t="n"/>
      <c r="O82" s="11" t="n"/>
    </row>
    <row r="83">
      <c r="A83" s="21" t="n"/>
      <c r="B83" s="11" t="n"/>
      <c r="C83" s="11" t="n"/>
      <c r="D83" s="11" t="n"/>
      <c r="E83" s="11" t="n"/>
      <c r="F83" s="22">
        <f>IF(A83="","",SUM(C83:E83))</f>
        <v/>
      </c>
      <c r="G83" s="11" t="n"/>
      <c r="H83" s="23">
        <f>IF(OR(A83="",N(C83)=0),"",G83/C83)</f>
        <v/>
      </c>
      <c r="I83" s="11" t="n"/>
      <c r="J83" s="11" t="n"/>
      <c r="K83" s="12" t="n"/>
      <c r="L83" s="12" t="n"/>
      <c r="M83" s="11" t="n"/>
      <c r="N83" s="11" t="n"/>
      <c r="O83" s="11" t="n"/>
    </row>
    <row r="84">
      <c r="A84" s="21" t="n"/>
      <c r="B84" s="11" t="n"/>
      <c r="C84" s="11" t="n"/>
      <c r="D84" s="11" t="n"/>
      <c r="E84" s="11" t="n"/>
      <c r="F84" s="22">
        <f>IF(A84="","",SUM(C84:E84))</f>
        <v/>
      </c>
      <c r="G84" s="11" t="n"/>
      <c r="H84" s="23">
        <f>IF(OR(A84="",N(C84)=0),"",G84/C84)</f>
        <v/>
      </c>
      <c r="I84" s="11" t="n"/>
      <c r="J84" s="11" t="n"/>
      <c r="K84" s="12" t="n"/>
      <c r="L84" s="12" t="n"/>
      <c r="M84" s="11" t="n"/>
      <c r="N84" s="11" t="n"/>
      <c r="O84" s="11" t="n"/>
    </row>
    <row r="85">
      <c r="A85" s="21" t="n"/>
      <c r="B85" s="11" t="n"/>
      <c r="C85" s="11" t="n"/>
      <c r="D85" s="11" t="n"/>
      <c r="E85" s="11" t="n"/>
      <c r="F85" s="22">
        <f>IF(A85="","",SUM(C85:E85))</f>
        <v/>
      </c>
      <c r="G85" s="11" t="n"/>
      <c r="H85" s="23">
        <f>IF(OR(A85="",N(C85)=0),"",G85/C85)</f>
        <v/>
      </c>
      <c r="I85" s="11" t="n"/>
      <c r="J85" s="11" t="n"/>
      <c r="K85" s="12" t="n"/>
      <c r="L85" s="12" t="n"/>
      <c r="M85" s="11" t="n"/>
      <c r="N85" s="11" t="n"/>
      <c r="O85" s="11" t="n"/>
    </row>
    <row r="86">
      <c r="A86" s="21" t="n"/>
      <c r="B86" s="11" t="n"/>
      <c r="C86" s="11" t="n"/>
      <c r="D86" s="11" t="n"/>
      <c r="E86" s="11" t="n"/>
      <c r="F86" s="22">
        <f>IF(A86="","",SUM(C86:E86))</f>
        <v/>
      </c>
      <c r="G86" s="11" t="n"/>
      <c r="H86" s="23">
        <f>IF(OR(A86="",N(C86)=0),"",G86/C86)</f>
        <v/>
      </c>
      <c r="I86" s="11" t="n"/>
      <c r="J86" s="11" t="n"/>
      <c r="K86" s="12" t="n"/>
      <c r="L86" s="12" t="n"/>
      <c r="M86" s="11" t="n"/>
      <c r="N86" s="11" t="n"/>
      <c r="O86" s="11" t="n"/>
    </row>
    <row r="87">
      <c r="A87" s="21" t="n"/>
      <c r="B87" s="11" t="n"/>
      <c r="C87" s="11" t="n"/>
      <c r="D87" s="11" t="n"/>
      <c r="E87" s="11" t="n"/>
      <c r="F87" s="22">
        <f>IF(A87="","",SUM(C87:E87))</f>
        <v/>
      </c>
      <c r="G87" s="11" t="n"/>
      <c r="H87" s="23">
        <f>IF(OR(A87="",N(C87)=0),"",G87/C87)</f>
        <v/>
      </c>
      <c r="I87" s="11" t="n"/>
      <c r="J87" s="11" t="n"/>
      <c r="K87" s="12" t="n"/>
      <c r="L87" s="12" t="n"/>
      <c r="M87" s="11" t="n"/>
      <c r="N87" s="11" t="n"/>
      <c r="O87" s="11" t="n"/>
    </row>
    <row r="88">
      <c r="A88" s="21" t="n"/>
      <c r="B88" s="11" t="n"/>
      <c r="C88" s="11" t="n"/>
      <c r="D88" s="11" t="n"/>
      <c r="E88" s="11" t="n"/>
      <c r="F88" s="22">
        <f>IF(A88="","",SUM(C88:E88))</f>
        <v/>
      </c>
      <c r="G88" s="11" t="n"/>
      <c r="H88" s="23">
        <f>IF(OR(A88="",N(C88)=0),"",G88/C88)</f>
        <v/>
      </c>
      <c r="I88" s="11" t="n"/>
      <c r="J88" s="11" t="n"/>
      <c r="K88" s="12" t="n"/>
      <c r="L88" s="12" t="n"/>
      <c r="M88" s="11" t="n"/>
      <c r="N88" s="11" t="n"/>
      <c r="O88" s="11" t="n"/>
    </row>
    <row r="89">
      <c r="A89" s="21" t="n"/>
      <c r="B89" s="11" t="n"/>
      <c r="C89" s="11" t="n"/>
      <c r="D89" s="11" t="n"/>
      <c r="E89" s="11" t="n"/>
      <c r="F89" s="22">
        <f>IF(A89="","",SUM(C89:E89))</f>
        <v/>
      </c>
      <c r="G89" s="11" t="n"/>
      <c r="H89" s="23">
        <f>IF(OR(A89="",N(C89)=0),"",G89/C89)</f>
        <v/>
      </c>
      <c r="I89" s="11" t="n"/>
      <c r="J89" s="11" t="n"/>
      <c r="K89" s="12" t="n"/>
      <c r="L89" s="12" t="n"/>
      <c r="M89" s="11" t="n"/>
      <c r="N89" s="11" t="n"/>
      <c r="O89" s="11" t="n"/>
    </row>
    <row r="90">
      <c r="A90" s="21" t="n"/>
      <c r="B90" s="11" t="n"/>
      <c r="C90" s="11" t="n"/>
      <c r="D90" s="11" t="n"/>
      <c r="E90" s="11" t="n"/>
      <c r="F90" s="22">
        <f>IF(A90="","",SUM(C90:E90))</f>
        <v/>
      </c>
      <c r="G90" s="11" t="n"/>
      <c r="H90" s="23">
        <f>IF(OR(A90="",N(C90)=0),"",G90/C90)</f>
        <v/>
      </c>
      <c r="I90" s="11" t="n"/>
      <c r="J90" s="11" t="n"/>
      <c r="K90" s="12" t="n"/>
      <c r="L90" s="12" t="n"/>
      <c r="M90" s="11" t="n"/>
      <c r="N90" s="11" t="n"/>
      <c r="O90" s="11" t="n"/>
    </row>
    <row r="91">
      <c r="A91" s="21" t="n"/>
      <c r="B91" s="11" t="n"/>
      <c r="C91" s="11" t="n"/>
      <c r="D91" s="11" t="n"/>
      <c r="E91" s="11" t="n"/>
      <c r="F91" s="22">
        <f>IF(A91="","",SUM(C91:E91))</f>
        <v/>
      </c>
      <c r="G91" s="11" t="n"/>
      <c r="H91" s="23">
        <f>IF(OR(A91="",N(C91)=0),"",G91/C91)</f>
        <v/>
      </c>
      <c r="I91" s="11" t="n"/>
      <c r="J91" s="11" t="n"/>
      <c r="K91" s="12" t="n"/>
      <c r="L91" s="12" t="n"/>
      <c r="M91" s="11" t="n"/>
      <c r="N91" s="11" t="n"/>
      <c r="O91" s="11" t="n"/>
    </row>
    <row r="92">
      <c r="A92" s="21" t="n"/>
      <c r="B92" s="11" t="n"/>
      <c r="C92" s="11" t="n"/>
      <c r="D92" s="11" t="n"/>
      <c r="E92" s="11" t="n"/>
      <c r="F92" s="22">
        <f>IF(A92="","",SUM(C92:E92))</f>
        <v/>
      </c>
      <c r="G92" s="11" t="n"/>
      <c r="H92" s="23">
        <f>IF(OR(A92="",N(C92)=0),"",G92/C92)</f>
        <v/>
      </c>
      <c r="I92" s="11" t="n"/>
      <c r="J92" s="11" t="n"/>
      <c r="K92" s="12" t="n"/>
      <c r="L92" s="12" t="n"/>
      <c r="M92" s="11" t="n"/>
      <c r="N92" s="11" t="n"/>
      <c r="O92" s="11" t="n"/>
    </row>
    <row r="93">
      <c r="A93" s="21" t="n"/>
      <c r="B93" s="11" t="n"/>
      <c r="C93" s="11" t="n"/>
      <c r="D93" s="11" t="n"/>
      <c r="E93" s="11" t="n"/>
      <c r="F93" s="22">
        <f>IF(A93="","",SUM(C93:E93))</f>
        <v/>
      </c>
      <c r="G93" s="11" t="n"/>
      <c r="H93" s="23">
        <f>IF(OR(A93="",N(C93)=0),"",G93/C93)</f>
        <v/>
      </c>
      <c r="I93" s="11" t="n"/>
      <c r="J93" s="11" t="n"/>
      <c r="K93" s="12" t="n"/>
      <c r="L93" s="12" t="n"/>
      <c r="M93" s="11" t="n"/>
      <c r="N93" s="11" t="n"/>
      <c r="O93" s="11" t="n"/>
    </row>
    <row r="94">
      <c r="A94" s="21" t="n"/>
      <c r="B94" s="11" t="n"/>
      <c r="C94" s="11" t="n"/>
      <c r="D94" s="11" t="n"/>
      <c r="E94" s="11" t="n"/>
      <c r="F94" s="22">
        <f>IF(A94="","",SUM(C94:E94))</f>
        <v/>
      </c>
      <c r="G94" s="11" t="n"/>
      <c r="H94" s="23">
        <f>IF(OR(A94="",N(C94)=0),"",G94/C94)</f>
        <v/>
      </c>
      <c r="I94" s="11" t="n"/>
      <c r="J94" s="11" t="n"/>
      <c r="K94" s="12" t="n"/>
      <c r="L94" s="12" t="n"/>
      <c r="M94" s="11" t="n"/>
      <c r="N94" s="11" t="n"/>
      <c r="O94" s="11" t="n"/>
    </row>
    <row r="95">
      <c r="A95" s="21" t="n"/>
      <c r="B95" s="11" t="n"/>
      <c r="C95" s="11" t="n"/>
      <c r="D95" s="11" t="n"/>
      <c r="E95" s="11" t="n"/>
      <c r="F95" s="22">
        <f>IF(A95="","",SUM(C95:E95))</f>
        <v/>
      </c>
      <c r="G95" s="11" t="n"/>
      <c r="H95" s="23">
        <f>IF(OR(A95="",N(C95)=0),"",G95/C95)</f>
        <v/>
      </c>
      <c r="I95" s="11" t="n"/>
      <c r="J95" s="11" t="n"/>
      <c r="K95" s="12" t="n"/>
      <c r="L95" s="12" t="n"/>
      <c r="M95" s="11" t="n"/>
      <c r="N95" s="11" t="n"/>
      <c r="O95" s="11" t="n"/>
    </row>
    <row r="96">
      <c r="A96" s="21" t="n"/>
      <c r="B96" s="11" t="n"/>
      <c r="C96" s="11" t="n"/>
      <c r="D96" s="11" t="n"/>
      <c r="E96" s="11" t="n"/>
      <c r="F96" s="22">
        <f>IF(A96="","",SUM(C96:E96))</f>
        <v/>
      </c>
      <c r="G96" s="11" t="n"/>
      <c r="H96" s="23">
        <f>IF(OR(A96="",N(C96)=0),"",G96/C96)</f>
        <v/>
      </c>
      <c r="I96" s="11" t="n"/>
      <c r="J96" s="11" t="n"/>
      <c r="K96" s="12" t="n"/>
      <c r="L96" s="12" t="n"/>
      <c r="M96" s="11" t="n"/>
      <c r="N96" s="11" t="n"/>
      <c r="O96" s="11" t="n"/>
    </row>
    <row r="97">
      <c r="A97" s="21" t="n"/>
      <c r="B97" s="11" t="n"/>
      <c r="C97" s="11" t="n"/>
      <c r="D97" s="11" t="n"/>
      <c r="E97" s="11" t="n"/>
      <c r="F97" s="22">
        <f>IF(A97="","",SUM(C97:E97))</f>
        <v/>
      </c>
      <c r="G97" s="11" t="n"/>
      <c r="H97" s="23">
        <f>IF(OR(A97="",N(C97)=0),"",G97/C97)</f>
        <v/>
      </c>
      <c r="I97" s="11" t="n"/>
      <c r="J97" s="11" t="n"/>
      <c r="K97" s="12" t="n"/>
      <c r="L97" s="12" t="n"/>
      <c r="M97" s="11" t="n"/>
      <c r="N97" s="11" t="n"/>
      <c r="O97" s="11" t="n"/>
    </row>
    <row r="98">
      <c r="A98" s="21" t="n"/>
      <c r="B98" s="11" t="n"/>
      <c r="C98" s="11" t="n"/>
      <c r="D98" s="11" t="n"/>
      <c r="E98" s="11" t="n"/>
      <c r="F98" s="22">
        <f>IF(A98="","",SUM(C98:E98))</f>
        <v/>
      </c>
      <c r="G98" s="11" t="n"/>
      <c r="H98" s="23">
        <f>IF(OR(A98="",N(C98)=0),"",G98/C98)</f>
        <v/>
      </c>
      <c r="I98" s="11" t="n"/>
      <c r="J98" s="11" t="n"/>
      <c r="K98" s="12" t="n"/>
      <c r="L98" s="12" t="n"/>
      <c r="M98" s="11" t="n"/>
      <c r="N98" s="11" t="n"/>
      <c r="O98" s="11" t="n"/>
    </row>
    <row r="99">
      <c r="A99" s="21" t="n"/>
      <c r="B99" s="11" t="n"/>
      <c r="C99" s="11" t="n"/>
      <c r="D99" s="11" t="n"/>
      <c r="E99" s="11" t="n"/>
      <c r="F99" s="22">
        <f>IF(A99="","",SUM(C99:E99))</f>
        <v/>
      </c>
      <c r="G99" s="11" t="n"/>
      <c r="H99" s="23">
        <f>IF(OR(A99="",N(C99)=0),"",G99/C99)</f>
        <v/>
      </c>
      <c r="I99" s="11" t="n"/>
      <c r="J99" s="11" t="n"/>
      <c r="K99" s="12" t="n"/>
      <c r="L99" s="12" t="n"/>
      <c r="M99" s="11" t="n"/>
      <c r="N99" s="11" t="n"/>
      <c r="O99" s="11" t="n"/>
    </row>
    <row r="100">
      <c r="A100" s="21" t="n"/>
      <c r="B100" s="11" t="n"/>
      <c r="C100" s="11" t="n"/>
      <c r="D100" s="11" t="n"/>
      <c r="E100" s="11" t="n"/>
      <c r="F100" s="22">
        <f>IF(A100="","",SUM(C100:E100))</f>
        <v/>
      </c>
      <c r="G100" s="11" t="n"/>
      <c r="H100" s="23">
        <f>IF(OR(A100="",N(C100)=0),"",G100/C100)</f>
        <v/>
      </c>
      <c r="I100" s="11" t="n"/>
      <c r="J100" s="11" t="n"/>
      <c r="K100" s="12" t="n"/>
      <c r="L100" s="12" t="n"/>
      <c r="M100" s="11" t="n"/>
      <c r="N100" s="11" t="n"/>
      <c r="O100" s="11" t="n"/>
    </row>
    <row r="101">
      <c r="A101" s="21" t="n"/>
      <c r="B101" s="11" t="n"/>
      <c r="C101" s="11" t="n"/>
      <c r="D101" s="11" t="n"/>
      <c r="E101" s="11" t="n"/>
      <c r="F101" s="22">
        <f>IF(A101="","",SUM(C101:E101))</f>
        <v/>
      </c>
      <c r="G101" s="11" t="n"/>
      <c r="H101" s="23">
        <f>IF(OR(A101="",N(C101)=0),"",G101/C101)</f>
        <v/>
      </c>
      <c r="I101" s="11" t="n"/>
      <c r="J101" s="11" t="n"/>
      <c r="K101" s="12" t="n"/>
      <c r="L101" s="12" t="n"/>
      <c r="M101" s="11" t="n"/>
      <c r="N101" s="11" t="n"/>
      <c r="O101" s="11" t="n"/>
    </row>
    <row r="102">
      <c r="A102" s="21" t="n"/>
      <c r="B102" s="11" t="n"/>
      <c r="C102" s="11" t="n"/>
      <c r="D102" s="11" t="n"/>
      <c r="E102" s="11" t="n"/>
      <c r="F102" s="22">
        <f>IF(A102="","",SUM(C102:E102))</f>
        <v/>
      </c>
      <c r="G102" s="11" t="n"/>
      <c r="H102" s="23">
        <f>IF(OR(A102="",N(C102)=0),"",G102/C102)</f>
        <v/>
      </c>
      <c r="I102" s="11" t="n"/>
      <c r="J102" s="11" t="n"/>
      <c r="K102" s="12" t="n"/>
      <c r="L102" s="12" t="n"/>
      <c r="M102" s="11" t="n"/>
      <c r="N102" s="11" t="n"/>
      <c r="O102" s="11" t="n"/>
    </row>
    <row r="103">
      <c r="A103" s="21" t="n"/>
      <c r="B103" s="11" t="n"/>
      <c r="C103" s="11" t="n"/>
      <c r="D103" s="11" t="n"/>
      <c r="E103" s="11" t="n"/>
      <c r="F103" s="22">
        <f>IF(A103="","",SUM(C103:E103))</f>
        <v/>
      </c>
      <c r="G103" s="11" t="n"/>
      <c r="H103" s="23">
        <f>IF(OR(A103="",N(C103)=0),"",G103/C103)</f>
        <v/>
      </c>
      <c r="I103" s="11" t="n"/>
      <c r="J103" s="11" t="n"/>
      <c r="K103" s="12" t="n"/>
      <c r="L103" s="12" t="n"/>
      <c r="M103" s="11" t="n"/>
      <c r="N103" s="11" t="n"/>
      <c r="O103" s="11" t="n"/>
    </row>
    <row r="104">
      <c r="A104" s="21" t="n"/>
      <c r="B104" s="11" t="n"/>
      <c r="C104" s="11" t="n"/>
      <c r="D104" s="11" t="n"/>
      <c r="E104" s="11" t="n"/>
      <c r="F104" s="22">
        <f>IF(A104="","",SUM(C104:E104))</f>
        <v/>
      </c>
      <c r="G104" s="11" t="n"/>
      <c r="H104" s="23">
        <f>IF(OR(A104="",N(C104)=0),"",G104/C104)</f>
        <v/>
      </c>
      <c r="I104" s="11" t="n"/>
      <c r="J104" s="11" t="n"/>
      <c r="K104" s="12" t="n"/>
      <c r="L104" s="12" t="n"/>
      <c r="M104" s="11" t="n"/>
      <c r="N104" s="11" t="n"/>
      <c r="O104" s="11" t="n"/>
    </row>
    <row r="105">
      <c r="A105" s="21" t="n"/>
      <c r="B105" s="11" t="n"/>
      <c r="C105" s="11" t="n"/>
      <c r="D105" s="11" t="n"/>
      <c r="E105" s="11" t="n"/>
      <c r="F105" s="22">
        <f>IF(A105="","",SUM(C105:E105))</f>
        <v/>
      </c>
      <c r="G105" s="11" t="n"/>
      <c r="H105" s="23">
        <f>IF(OR(A105="",N(C105)=0),"",G105/C105)</f>
        <v/>
      </c>
      <c r="I105" s="11" t="n"/>
      <c r="J105" s="11" t="n"/>
      <c r="K105" s="12" t="n"/>
      <c r="L105" s="12" t="n"/>
      <c r="M105" s="11" t="n"/>
      <c r="N105" s="11" t="n"/>
      <c r="O105" s="11" t="n"/>
    </row>
    <row r="106">
      <c r="A106" s="21" t="n"/>
      <c r="B106" s="11" t="n"/>
      <c r="C106" s="11" t="n"/>
      <c r="D106" s="11" t="n"/>
      <c r="E106" s="11" t="n"/>
      <c r="F106" s="22">
        <f>IF(A106="","",SUM(C106:E106))</f>
        <v/>
      </c>
      <c r="G106" s="11" t="n"/>
      <c r="H106" s="23">
        <f>IF(OR(A106="",N(C106)=0),"",G106/C106)</f>
        <v/>
      </c>
      <c r="I106" s="11" t="n"/>
      <c r="J106" s="11" t="n"/>
      <c r="K106" s="12" t="n"/>
      <c r="L106" s="12" t="n"/>
      <c r="M106" s="11" t="n"/>
      <c r="N106" s="11" t="n"/>
      <c r="O106" s="11" t="n"/>
    </row>
    <row r="107">
      <c r="A107" s="21" t="n"/>
      <c r="B107" s="11" t="n"/>
      <c r="C107" s="11" t="n"/>
      <c r="D107" s="11" t="n"/>
      <c r="E107" s="11" t="n"/>
      <c r="F107" s="22">
        <f>IF(A107="","",SUM(C107:E107))</f>
        <v/>
      </c>
      <c r="G107" s="11" t="n"/>
      <c r="H107" s="23">
        <f>IF(OR(A107="",N(C107)=0),"",G107/C107)</f>
        <v/>
      </c>
      <c r="I107" s="11" t="n"/>
      <c r="J107" s="11" t="n"/>
      <c r="K107" s="12" t="n"/>
      <c r="L107" s="12" t="n"/>
      <c r="M107" s="11" t="n"/>
      <c r="N107" s="11" t="n"/>
      <c r="O107" s="11" t="n"/>
    </row>
    <row r="108">
      <c r="A108" s="21" t="n"/>
      <c r="B108" s="11" t="n"/>
      <c r="C108" s="11" t="n"/>
      <c r="D108" s="11" t="n"/>
      <c r="E108" s="11" t="n"/>
      <c r="F108" s="22">
        <f>IF(A108="","",SUM(C108:E108))</f>
        <v/>
      </c>
      <c r="G108" s="11" t="n"/>
      <c r="H108" s="23">
        <f>IF(OR(A108="",N(C108)=0),"",G108/C108)</f>
        <v/>
      </c>
      <c r="I108" s="11" t="n"/>
      <c r="J108" s="11" t="n"/>
      <c r="K108" s="12" t="n"/>
      <c r="L108" s="12" t="n"/>
      <c r="M108" s="11" t="n"/>
      <c r="N108" s="11" t="n"/>
      <c r="O108" s="11" t="n"/>
    </row>
    <row r="109">
      <c r="A109" s="21" t="n"/>
      <c r="B109" s="11" t="n"/>
      <c r="C109" s="11" t="n"/>
      <c r="D109" s="11" t="n"/>
      <c r="E109" s="11" t="n"/>
      <c r="F109" s="22">
        <f>IF(A109="","",SUM(C109:E109))</f>
        <v/>
      </c>
      <c r="G109" s="11" t="n"/>
      <c r="H109" s="23">
        <f>IF(OR(A109="",N(C109)=0),"",G109/C109)</f>
        <v/>
      </c>
      <c r="I109" s="11" t="n"/>
      <c r="J109" s="11" t="n"/>
      <c r="K109" s="12" t="n"/>
      <c r="L109" s="12" t="n"/>
      <c r="M109" s="11" t="n"/>
      <c r="N109" s="11" t="n"/>
      <c r="O109" s="11" t="n"/>
    </row>
    <row r="110">
      <c r="A110" s="21" t="n"/>
      <c r="B110" s="11" t="n"/>
      <c r="C110" s="11" t="n"/>
      <c r="D110" s="11" t="n"/>
      <c r="E110" s="11" t="n"/>
      <c r="F110" s="22">
        <f>IF(A110="","",SUM(C110:E110))</f>
        <v/>
      </c>
      <c r="G110" s="11" t="n"/>
      <c r="H110" s="23">
        <f>IF(OR(A110="",N(C110)=0),"",G110/C110)</f>
        <v/>
      </c>
      <c r="I110" s="11" t="n"/>
      <c r="J110" s="11" t="n"/>
      <c r="K110" s="12" t="n"/>
      <c r="L110" s="12" t="n"/>
      <c r="M110" s="11" t="n"/>
      <c r="N110" s="11" t="n"/>
      <c r="O110" s="11" t="n"/>
    </row>
    <row r="111">
      <c r="A111" s="21" t="n"/>
      <c r="B111" s="11" t="n"/>
      <c r="C111" s="11" t="n"/>
      <c r="D111" s="11" t="n"/>
      <c r="E111" s="11" t="n"/>
      <c r="F111" s="22">
        <f>IF(A111="","",SUM(C111:E111))</f>
        <v/>
      </c>
      <c r="G111" s="11" t="n"/>
      <c r="H111" s="23">
        <f>IF(OR(A111="",N(C111)=0),"",G111/C111)</f>
        <v/>
      </c>
      <c r="I111" s="11" t="n"/>
      <c r="J111" s="11" t="n"/>
      <c r="K111" s="12" t="n"/>
      <c r="L111" s="12" t="n"/>
      <c r="M111" s="11" t="n"/>
      <c r="N111" s="11" t="n"/>
      <c r="O111" s="11" t="n"/>
    </row>
    <row r="112">
      <c r="A112" s="21" t="n"/>
      <c r="B112" s="11" t="n"/>
      <c r="C112" s="11" t="n"/>
      <c r="D112" s="11" t="n"/>
      <c r="E112" s="11" t="n"/>
      <c r="F112" s="22">
        <f>IF(A112="","",SUM(C112:E112))</f>
        <v/>
      </c>
      <c r="G112" s="11" t="n"/>
      <c r="H112" s="23">
        <f>IF(OR(A112="",N(C112)=0),"",G112/C112)</f>
        <v/>
      </c>
      <c r="I112" s="11" t="n"/>
      <c r="J112" s="11" t="n"/>
      <c r="K112" s="12" t="n"/>
      <c r="L112" s="12" t="n"/>
      <c r="M112" s="11" t="n"/>
      <c r="N112" s="11" t="n"/>
      <c r="O112" s="11" t="n"/>
    </row>
    <row r="113">
      <c r="A113" s="21" t="n"/>
      <c r="B113" s="11" t="n"/>
      <c r="C113" s="11" t="n"/>
      <c r="D113" s="11" t="n"/>
      <c r="E113" s="11" t="n"/>
      <c r="F113" s="22">
        <f>IF(A113="","",SUM(C113:E113))</f>
        <v/>
      </c>
      <c r="G113" s="11" t="n"/>
      <c r="H113" s="23">
        <f>IF(OR(A113="",N(C113)=0),"",G113/C113)</f>
        <v/>
      </c>
      <c r="I113" s="11" t="n"/>
      <c r="J113" s="11" t="n"/>
      <c r="K113" s="12" t="n"/>
      <c r="L113" s="12" t="n"/>
      <c r="M113" s="11" t="n"/>
      <c r="N113" s="11" t="n"/>
      <c r="O113" s="11" t="n"/>
    </row>
    <row r="114">
      <c r="A114" s="21" t="n"/>
      <c r="B114" s="11" t="n"/>
      <c r="C114" s="11" t="n"/>
      <c r="D114" s="11" t="n"/>
      <c r="E114" s="11" t="n"/>
      <c r="F114" s="22">
        <f>IF(A114="","",SUM(C114:E114))</f>
        <v/>
      </c>
      <c r="G114" s="11" t="n"/>
      <c r="H114" s="23">
        <f>IF(OR(A114="",N(C114)=0),"",G114/C114)</f>
        <v/>
      </c>
      <c r="I114" s="11" t="n"/>
      <c r="J114" s="11" t="n"/>
      <c r="K114" s="12" t="n"/>
      <c r="L114" s="12" t="n"/>
      <c r="M114" s="11" t="n"/>
      <c r="N114" s="11" t="n"/>
      <c r="O114" s="11" t="n"/>
    </row>
    <row r="115">
      <c r="A115" s="21" t="n"/>
      <c r="B115" s="11" t="n"/>
      <c r="C115" s="11" t="n"/>
      <c r="D115" s="11" t="n"/>
      <c r="E115" s="11" t="n"/>
      <c r="F115" s="22">
        <f>IF(A115="","",SUM(C115:E115))</f>
        <v/>
      </c>
      <c r="G115" s="11" t="n"/>
      <c r="H115" s="23">
        <f>IF(OR(A115="",N(C115)=0),"",G115/C115)</f>
        <v/>
      </c>
      <c r="I115" s="11" t="n"/>
      <c r="J115" s="11" t="n"/>
      <c r="K115" s="12" t="n"/>
      <c r="L115" s="12" t="n"/>
      <c r="M115" s="11" t="n"/>
      <c r="N115" s="11" t="n"/>
      <c r="O115" s="11" t="n"/>
    </row>
    <row r="116">
      <c r="A116" s="21" t="n"/>
      <c r="B116" s="11" t="n"/>
      <c r="C116" s="11" t="n"/>
      <c r="D116" s="11" t="n"/>
      <c r="E116" s="11" t="n"/>
      <c r="F116" s="22">
        <f>IF(A116="","",SUM(C116:E116))</f>
        <v/>
      </c>
      <c r="G116" s="11" t="n"/>
      <c r="H116" s="23">
        <f>IF(OR(A116="",N(C116)=0),"",G116/C116)</f>
        <v/>
      </c>
      <c r="I116" s="11" t="n"/>
      <c r="J116" s="11" t="n"/>
      <c r="K116" s="12" t="n"/>
      <c r="L116" s="12" t="n"/>
      <c r="M116" s="11" t="n"/>
      <c r="N116" s="11" t="n"/>
      <c r="O116" s="11" t="n"/>
    </row>
    <row r="117">
      <c r="A117" s="21" t="n"/>
      <c r="B117" s="11" t="n"/>
      <c r="C117" s="11" t="n"/>
      <c r="D117" s="11" t="n"/>
      <c r="E117" s="11" t="n"/>
      <c r="F117" s="22">
        <f>IF(A117="","",SUM(C117:E117))</f>
        <v/>
      </c>
      <c r="G117" s="11" t="n"/>
      <c r="H117" s="23">
        <f>IF(OR(A117="",N(C117)=0),"",G117/C117)</f>
        <v/>
      </c>
      <c r="I117" s="11" t="n"/>
      <c r="J117" s="11" t="n"/>
      <c r="K117" s="12" t="n"/>
      <c r="L117" s="12" t="n"/>
      <c r="M117" s="11" t="n"/>
      <c r="N117" s="11" t="n"/>
      <c r="O117" s="11" t="n"/>
    </row>
    <row r="118">
      <c r="A118" s="21" t="n"/>
      <c r="B118" s="11" t="n"/>
      <c r="C118" s="11" t="n"/>
      <c r="D118" s="11" t="n"/>
      <c r="E118" s="11" t="n"/>
      <c r="F118" s="22">
        <f>IF(A118="","",SUM(C118:E118))</f>
        <v/>
      </c>
      <c r="G118" s="11" t="n"/>
      <c r="H118" s="23">
        <f>IF(OR(A118="",N(C118)=0),"",G118/C118)</f>
        <v/>
      </c>
      <c r="I118" s="11" t="n"/>
      <c r="J118" s="11" t="n"/>
      <c r="K118" s="12" t="n"/>
      <c r="L118" s="12" t="n"/>
      <c r="M118" s="11" t="n"/>
      <c r="N118" s="11" t="n"/>
      <c r="O118" s="11" t="n"/>
    </row>
    <row r="119">
      <c r="A119" s="21" t="n"/>
      <c r="B119" s="11" t="n"/>
      <c r="C119" s="11" t="n"/>
      <c r="D119" s="11" t="n"/>
      <c r="E119" s="11" t="n"/>
      <c r="F119" s="22">
        <f>IF(A119="","",SUM(C119:E119))</f>
        <v/>
      </c>
      <c r="G119" s="11" t="n"/>
      <c r="H119" s="23">
        <f>IF(OR(A119="",N(C119)=0),"",G119/C119)</f>
        <v/>
      </c>
      <c r="I119" s="11" t="n"/>
      <c r="J119" s="11" t="n"/>
      <c r="K119" s="12" t="n"/>
      <c r="L119" s="12" t="n"/>
      <c r="M119" s="11" t="n"/>
      <c r="N119" s="11" t="n"/>
      <c r="O119" s="11" t="n"/>
    </row>
    <row r="120">
      <c r="A120" s="21" t="n"/>
      <c r="B120" s="11" t="n"/>
      <c r="C120" s="11" t="n"/>
      <c r="D120" s="11" t="n"/>
      <c r="E120" s="11" t="n"/>
      <c r="F120" s="22">
        <f>IF(A120="","",SUM(C120:E120))</f>
        <v/>
      </c>
      <c r="G120" s="11" t="n"/>
      <c r="H120" s="23">
        <f>IF(OR(A120="",N(C120)=0),"",G120/C120)</f>
        <v/>
      </c>
      <c r="I120" s="11" t="n"/>
      <c r="J120" s="11" t="n"/>
      <c r="K120" s="12" t="n"/>
      <c r="L120" s="12" t="n"/>
      <c r="M120" s="11" t="n"/>
      <c r="N120" s="11" t="n"/>
      <c r="O120" s="11" t="n"/>
    </row>
    <row r="121">
      <c r="A121" s="21" t="n"/>
      <c r="B121" s="11" t="n"/>
      <c r="C121" s="11" t="n"/>
      <c r="D121" s="11" t="n"/>
      <c r="E121" s="11" t="n"/>
      <c r="F121" s="22">
        <f>IF(A121="","",SUM(C121:E121))</f>
        <v/>
      </c>
      <c r="G121" s="11" t="n"/>
      <c r="H121" s="23">
        <f>IF(OR(A121="",N(C121)=0),"",G121/C121)</f>
        <v/>
      </c>
      <c r="I121" s="11" t="n"/>
      <c r="J121" s="11" t="n"/>
      <c r="K121" s="12" t="n"/>
      <c r="L121" s="12" t="n"/>
      <c r="M121" s="11" t="n"/>
      <c r="N121" s="11" t="n"/>
      <c r="O121" s="11" t="n"/>
    </row>
    <row r="122">
      <c r="A122" s="21" t="n"/>
      <c r="B122" s="11" t="n"/>
      <c r="C122" s="11" t="n"/>
      <c r="D122" s="11" t="n"/>
      <c r="E122" s="11" t="n"/>
      <c r="F122" s="22">
        <f>IF(A122="","",SUM(C122:E122))</f>
        <v/>
      </c>
      <c r="G122" s="11" t="n"/>
      <c r="H122" s="23">
        <f>IF(OR(A122="",N(C122)=0),"",G122/C122)</f>
        <v/>
      </c>
      <c r="I122" s="11" t="n"/>
      <c r="J122" s="11" t="n"/>
      <c r="K122" s="12" t="n"/>
      <c r="L122" s="12" t="n"/>
      <c r="M122" s="11" t="n"/>
      <c r="N122" s="11" t="n"/>
      <c r="O122" s="11" t="n"/>
    </row>
    <row r="123">
      <c r="A123" s="21" t="n"/>
      <c r="B123" s="11" t="n"/>
      <c r="C123" s="11" t="n"/>
      <c r="D123" s="11" t="n"/>
      <c r="E123" s="11" t="n"/>
      <c r="F123" s="22">
        <f>IF(A123="","",SUM(C123:E123))</f>
        <v/>
      </c>
      <c r="G123" s="11" t="n"/>
      <c r="H123" s="23">
        <f>IF(OR(A123="",N(C123)=0),"",G123/C123)</f>
        <v/>
      </c>
      <c r="I123" s="11" t="n"/>
      <c r="J123" s="11" t="n"/>
      <c r="K123" s="12" t="n"/>
      <c r="L123" s="12" t="n"/>
      <c r="M123" s="11" t="n"/>
      <c r="N123" s="11" t="n"/>
      <c r="O123" s="11" t="n"/>
    </row>
    <row r="124">
      <c r="A124" s="21" t="n"/>
      <c r="B124" s="11" t="n"/>
      <c r="C124" s="11" t="n"/>
      <c r="D124" s="11" t="n"/>
      <c r="E124" s="11" t="n"/>
      <c r="F124" s="22">
        <f>IF(A124="","",SUM(C124:E124))</f>
        <v/>
      </c>
      <c r="G124" s="11" t="n"/>
      <c r="H124" s="23">
        <f>IF(OR(A124="",N(C124)=0),"",G124/C124)</f>
        <v/>
      </c>
      <c r="I124" s="11" t="n"/>
      <c r="J124" s="11" t="n"/>
      <c r="K124" s="12" t="n"/>
      <c r="L124" s="12" t="n"/>
      <c r="M124" s="11" t="n"/>
      <c r="N124" s="11" t="n"/>
      <c r="O124" s="11" t="n"/>
    </row>
    <row r="125">
      <c r="A125" s="21" t="n"/>
      <c r="B125" s="11" t="n"/>
      <c r="C125" s="11" t="n"/>
      <c r="D125" s="11" t="n"/>
      <c r="E125" s="11" t="n"/>
      <c r="F125" s="22">
        <f>IF(A125="","",SUM(C125:E125))</f>
        <v/>
      </c>
      <c r="G125" s="11" t="n"/>
      <c r="H125" s="23">
        <f>IF(OR(A125="",N(C125)=0),"",G125/C125)</f>
        <v/>
      </c>
      <c r="I125" s="11" t="n"/>
      <c r="J125" s="11" t="n"/>
      <c r="K125" s="12" t="n"/>
      <c r="L125" s="12" t="n"/>
      <c r="M125" s="11" t="n"/>
      <c r="N125" s="11" t="n"/>
      <c r="O125" s="11" t="n"/>
    </row>
    <row r="126">
      <c r="A126" s="21" t="n"/>
      <c r="B126" s="11" t="n"/>
      <c r="C126" s="11" t="n"/>
      <c r="D126" s="11" t="n"/>
      <c r="E126" s="11" t="n"/>
      <c r="F126" s="22">
        <f>IF(A126="","",SUM(C126:E126))</f>
        <v/>
      </c>
      <c r="G126" s="11" t="n"/>
      <c r="H126" s="23">
        <f>IF(OR(A126="",N(C126)=0),"",G126/C126)</f>
        <v/>
      </c>
      <c r="I126" s="11" t="n"/>
      <c r="J126" s="11" t="n"/>
      <c r="K126" s="12" t="n"/>
      <c r="L126" s="12" t="n"/>
      <c r="M126" s="11" t="n"/>
      <c r="N126" s="11" t="n"/>
      <c r="O126" s="11" t="n"/>
    </row>
    <row r="127">
      <c r="A127" s="21" t="n"/>
      <c r="B127" s="11" t="n"/>
      <c r="C127" s="11" t="n"/>
      <c r="D127" s="11" t="n"/>
      <c r="E127" s="11" t="n"/>
      <c r="F127" s="22">
        <f>IF(A127="","",SUM(C127:E127))</f>
        <v/>
      </c>
      <c r="G127" s="11" t="n"/>
      <c r="H127" s="23">
        <f>IF(OR(A127="",N(C127)=0),"",G127/C127)</f>
        <v/>
      </c>
      <c r="I127" s="11" t="n"/>
      <c r="J127" s="11" t="n"/>
      <c r="K127" s="12" t="n"/>
      <c r="L127" s="12" t="n"/>
      <c r="M127" s="11" t="n"/>
      <c r="N127" s="11" t="n"/>
      <c r="O127" s="11" t="n"/>
    </row>
    <row r="128">
      <c r="A128" s="21" t="n"/>
      <c r="B128" s="11" t="n"/>
      <c r="C128" s="11" t="n"/>
      <c r="D128" s="11" t="n"/>
      <c r="E128" s="11" t="n"/>
      <c r="F128" s="22">
        <f>IF(A128="","",SUM(C128:E128))</f>
        <v/>
      </c>
      <c r="G128" s="11" t="n"/>
      <c r="H128" s="23">
        <f>IF(OR(A128="",N(C128)=0),"",G128/C128)</f>
        <v/>
      </c>
      <c r="I128" s="11" t="n"/>
      <c r="J128" s="11" t="n"/>
      <c r="K128" s="12" t="n"/>
      <c r="L128" s="12" t="n"/>
      <c r="M128" s="11" t="n"/>
      <c r="N128" s="11" t="n"/>
      <c r="O128" s="11" t="n"/>
    </row>
    <row r="129">
      <c r="A129" s="21" t="n"/>
      <c r="B129" s="11" t="n"/>
      <c r="C129" s="11" t="n"/>
      <c r="D129" s="11" t="n"/>
      <c r="E129" s="11" t="n"/>
      <c r="F129" s="22">
        <f>IF(A129="","",SUM(C129:E129))</f>
        <v/>
      </c>
      <c r="G129" s="11" t="n"/>
      <c r="H129" s="23">
        <f>IF(OR(A129="",N(C129)=0),"",G129/C129)</f>
        <v/>
      </c>
      <c r="I129" s="11" t="n"/>
      <c r="J129" s="11" t="n"/>
      <c r="K129" s="12" t="n"/>
      <c r="L129" s="12" t="n"/>
      <c r="M129" s="11" t="n"/>
      <c r="N129" s="11" t="n"/>
      <c r="O129" s="11" t="n"/>
    </row>
    <row r="130">
      <c r="A130" s="21" t="n"/>
      <c r="B130" s="11" t="n"/>
      <c r="C130" s="11" t="n"/>
      <c r="D130" s="11" t="n"/>
      <c r="E130" s="11" t="n"/>
      <c r="F130" s="22">
        <f>IF(A130="","",SUM(C130:E130))</f>
        <v/>
      </c>
      <c r="G130" s="11" t="n"/>
      <c r="H130" s="23">
        <f>IF(OR(A130="",N(C130)=0),"",G130/C130)</f>
        <v/>
      </c>
      <c r="I130" s="11" t="n"/>
      <c r="J130" s="11" t="n"/>
      <c r="K130" s="12" t="n"/>
      <c r="L130" s="12" t="n"/>
      <c r="M130" s="11" t="n"/>
      <c r="N130" s="11" t="n"/>
      <c r="O130" s="11" t="n"/>
    </row>
    <row r="131">
      <c r="A131" s="21" t="n"/>
      <c r="B131" s="11" t="n"/>
      <c r="C131" s="11" t="n"/>
      <c r="D131" s="11" t="n"/>
      <c r="E131" s="11" t="n"/>
      <c r="F131" s="22">
        <f>IF(A131="","",SUM(C131:E131))</f>
        <v/>
      </c>
      <c r="G131" s="11" t="n"/>
      <c r="H131" s="23">
        <f>IF(OR(A131="",N(C131)=0),"",G131/C131)</f>
        <v/>
      </c>
      <c r="I131" s="11" t="n"/>
      <c r="J131" s="11" t="n"/>
      <c r="K131" s="12" t="n"/>
      <c r="L131" s="12" t="n"/>
      <c r="M131" s="11" t="n"/>
      <c r="N131" s="11" t="n"/>
      <c r="O131" s="11" t="n"/>
    </row>
    <row r="132">
      <c r="A132" s="21" t="n"/>
      <c r="B132" s="11" t="n"/>
      <c r="C132" s="11" t="n"/>
      <c r="D132" s="11" t="n"/>
      <c r="E132" s="11" t="n"/>
      <c r="F132" s="22">
        <f>IF(A132="","",SUM(C132:E132))</f>
        <v/>
      </c>
      <c r="G132" s="11" t="n"/>
      <c r="H132" s="23">
        <f>IF(OR(A132="",N(C132)=0),"",G132/C132)</f>
        <v/>
      </c>
      <c r="I132" s="11" t="n"/>
      <c r="J132" s="11" t="n"/>
      <c r="K132" s="12" t="n"/>
      <c r="L132" s="12" t="n"/>
      <c r="M132" s="11" t="n"/>
      <c r="N132" s="11" t="n"/>
      <c r="O132" s="11" t="n"/>
    </row>
    <row r="133">
      <c r="A133" s="21" t="n"/>
      <c r="B133" s="11" t="n"/>
      <c r="C133" s="11" t="n"/>
      <c r="D133" s="11" t="n"/>
      <c r="E133" s="11" t="n"/>
      <c r="F133" s="22">
        <f>IF(A133="","",SUM(C133:E133))</f>
        <v/>
      </c>
      <c r="G133" s="11" t="n"/>
      <c r="H133" s="23">
        <f>IF(OR(A133="",N(C133)=0),"",G133/C133)</f>
        <v/>
      </c>
      <c r="I133" s="11" t="n"/>
      <c r="J133" s="11" t="n"/>
      <c r="K133" s="12" t="n"/>
      <c r="L133" s="12" t="n"/>
      <c r="M133" s="11" t="n"/>
      <c r="N133" s="11" t="n"/>
      <c r="O133" s="11" t="n"/>
    </row>
    <row r="134">
      <c r="A134" s="21" t="n"/>
      <c r="B134" s="11" t="n"/>
      <c r="C134" s="11" t="n"/>
      <c r="D134" s="11" t="n"/>
      <c r="E134" s="11" t="n"/>
      <c r="F134" s="22">
        <f>IF(A134="","",SUM(C134:E134))</f>
        <v/>
      </c>
      <c r="G134" s="11" t="n"/>
      <c r="H134" s="23">
        <f>IF(OR(A134="",N(C134)=0),"",G134/C134)</f>
        <v/>
      </c>
      <c r="I134" s="11" t="n"/>
      <c r="J134" s="11" t="n"/>
      <c r="K134" s="12" t="n"/>
      <c r="L134" s="12" t="n"/>
      <c r="M134" s="11" t="n"/>
      <c r="N134" s="11" t="n"/>
      <c r="O134" s="11" t="n"/>
    </row>
    <row r="135">
      <c r="A135" s="21" t="n"/>
      <c r="B135" s="11" t="n"/>
      <c r="C135" s="11" t="n"/>
      <c r="D135" s="11" t="n"/>
      <c r="E135" s="11" t="n"/>
      <c r="F135" s="22">
        <f>IF(A135="","",SUM(C135:E135))</f>
        <v/>
      </c>
      <c r="G135" s="11" t="n"/>
      <c r="H135" s="23">
        <f>IF(OR(A135="",N(C135)=0),"",G135/C135)</f>
        <v/>
      </c>
      <c r="I135" s="11" t="n"/>
      <c r="J135" s="11" t="n"/>
      <c r="K135" s="12" t="n"/>
      <c r="L135" s="12" t="n"/>
      <c r="M135" s="11" t="n"/>
      <c r="N135" s="11" t="n"/>
      <c r="O135" s="11" t="n"/>
    </row>
    <row r="136">
      <c r="A136" s="21" t="n"/>
      <c r="B136" s="11" t="n"/>
      <c r="C136" s="11" t="n"/>
      <c r="D136" s="11" t="n"/>
      <c r="E136" s="11" t="n"/>
      <c r="F136" s="22">
        <f>IF(A136="","",SUM(C136:E136))</f>
        <v/>
      </c>
      <c r="G136" s="11" t="n"/>
      <c r="H136" s="23">
        <f>IF(OR(A136="",N(C136)=0),"",G136/C136)</f>
        <v/>
      </c>
      <c r="I136" s="11" t="n"/>
      <c r="J136" s="11" t="n"/>
      <c r="K136" s="12" t="n"/>
      <c r="L136" s="12" t="n"/>
      <c r="M136" s="11" t="n"/>
      <c r="N136" s="11" t="n"/>
      <c r="O136" s="11" t="n"/>
    </row>
    <row r="137">
      <c r="A137" s="21" t="n"/>
      <c r="B137" s="11" t="n"/>
      <c r="C137" s="11" t="n"/>
      <c r="D137" s="11" t="n"/>
      <c r="E137" s="11" t="n"/>
      <c r="F137" s="22">
        <f>IF(A137="","",SUM(C137:E137))</f>
        <v/>
      </c>
      <c r="G137" s="11" t="n"/>
      <c r="H137" s="23">
        <f>IF(OR(A137="",N(C137)=0),"",G137/C137)</f>
        <v/>
      </c>
      <c r="I137" s="11" t="n"/>
      <c r="J137" s="11" t="n"/>
      <c r="K137" s="12" t="n"/>
      <c r="L137" s="12" t="n"/>
      <c r="M137" s="11" t="n"/>
      <c r="N137" s="11" t="n"/>
      <c r="O137" s="11" t="n"/>
    </row>
    <row r="138">
      <c r="A138" s="21" t="n"/>
      <c r="B138" s="11" t="n"/>
      <c r="C138" s="11" t="n"/>
      <c r="D138" s="11" t="n"/>
      <c r="E138" s="11" t="n"/>
      <c r="F138" s="22">
        <f>IF(A138="","",SUM(C138:E138))</f>
        <v/>
      </c>
      <c r="G138" s="11" t="n"/>
      <c r="H138" s="23">
        <f>IF(OR(A138="",N(C138)=0),"",G138/C138)</f>
        <v/>
      </c>
      <c r="I138" s="11" t="n"/>
      <c r="J138" s="11" t="n"/>
      <c r="K138" s="12" t="n"/>
      <c r="L138" s="12" t="n"/>
      <c r="M138" s="11" t="n"/>
      <c r="N138" s="11" t="n"/>
      <c r="O138" s="11" t="n"/>
    </row>
    <row r="139">
      <c r="A139" s="21" t="n"/>
      <c r="B139" s="11" t="n"/>
      <c r="C139" s="11" t="n"/>
      <c r="D139" s="11" t="n"/>
      <c r="E139" s="11" t="n"/>
      <c r="F139" s="22">
        <f>IF(A139="","",SUM(C139:E139))</f>
        <v/>
      </c>
      <c r="G139" s="11" t="n"/>
      <c r="H139" s="23">
        <f>IF(OR(A139="",N(C139)=0),"",G139/C139)</f>
        <v/>
      </c>
      <c r="I139" s="11" t="n"/>
      <c r="J139" s="11" t="n"/>
      <c r="K139" s="12" t="n"/>
      <c r="L139" s="12" t="n"/>
      <c r="M139" s="11" t="n"/>
      <c r="N139" s="11" t="n"/>
      <c r="O139" s="11" t="n"/>
    </row>
    <row r="140">
      <c r="A140" s="21" t="n"/>
      <c r="B140" s="11" t="n"/>
      <c r="C140" s="11" t="n"/>
      <c r="D140" s="11" t="n"/>
      <c r="E140" s="11" t="n"/>
      <c r="F140" s="22">
        <f>IF(A140="","",SUM(C140:E140))</f>
        <v/>
      </c>
      <c r="G140" s="11" t="n"/>
      <c r="H140" s="23">
        <f>IF(OR(A140="",N(C140)=0),"",G140/C140)</f>
        <v/>
      </c>
      <c r="I140" s="11" t="n"/>
      <c r="J140" s="11" t="n"/>
      <c r="K140" s="12" t="n"/>
      <c r="L140" s="12" t="n"/>
      <c r="M140" s="11" t="n"/>
      <c r="N140" s="11" t="n"/>
      <c r="O140" s="11" t="n"/>
    </row>
    <row r="141">
      <c r="A141" s="21" t="n"/>
      <c r="B141" s="11" t="n"/>
      <c r="C141" s="11" t="n"/>
      <c r="D141" s="11" t="n"/>
      <c r="E141" s="11" t="n"/>
      <c r="F141" s="22">
        <f>IF(A141="","",SUM(C141:E141))</f>
        <v/>
      </c>
      <c r="G141" s="11" t="n"/>
      <c r="H141" s="23">
        <f>IF(OR(A141="",N(C141)=0),"",G141/C141)</f>
        <v/>
      </c>
      <c r="I141" s="11" t="n"/>
      <c r="J141" s="11" t="n"/>
      <c r="K141" s="12" t="n"/>
      <c r="L141" s="12" t="n"/>
      <c r="M141" s="11" t="n"/>
      <c r="N141" s="11" t="n"/>
      <c r="O141" s="11" t="n"/>
    </row>
    <row r="142">
      <c r="A142" s="21" t="n"/>
      <c r="B142" s="11" t="n"/>
      <c r="C142" s="11" t="n"/>
      <c r="D142" s="11" t="n"/>
      <c r="E142" s="11" t="n"/>
      <c r="F142" s="22">
        <f>IF(A142="","",SUM(C142:E142))</f>
        <v/>
      </c>
      <c r="G142" s="11" t="n"/>
      <c r="H142" s="23">
        <f>IF(OR(A142="",N(C142)=0),"",G142/C142)</f>
        <v/>
      </c>
      <c r="I142" s="11" t="n"/>
      <c r="J142" s="11" t="n"/>
      <c r="K142" s="12" t="n"/>
      <c r="L142" s="12" t="n"/>
      <c r="M142" s="11" t="n"/>
      <c r="N142" s="11" t="n"/>
      <c r="O142" s="11" t="n"/>
    </row>
    <row r="143">
      <c r="A143" s="21" t="n"/>
      <c r="B143" s="11" t="n"/>
      <c r="C143" s="11" t="n"/>
      <c r="D143" s="11" t="n"/>
      <c r="E143" s="11" t="n"/>
      <c r="F143" s="22">
        <f>IF(A143="","",SUM(C143:E143))</f>
        <v/>
      </c>
      <c r="G143" s="11" t="n"/>
      <c r="H143" s="23">
        <f>IF(OR(A143="",N(C143)=0),"",G143/C143)</f>
        <v/>
      </c>
      <c r="I143" s="11" t="n"/>
      <c r="J143" s="11" t="n"/>
      <c r="K143" s="12" t="n"/>
      <c r="L143" s="12" t="n"/>
      <c r="M143" s="11" t="n"/>
      <c r="N143" s="11" t="n"/>
      <c r="O143" s="11" t="n"/>
    </row>
    <row r="144">
      <c r="A144" s="21" t="n"/>
      <c r="B144" s="11" t="n"/>
      <c r="C144" s="11" t="n"/>
      <c r="D144" s="11" t="n"/>
      <c r="E144" s="11" t="n"/>
      <c r="F144" s="22">
        <f>IF(A144="","",SUM(C144:E144))</f>
        <v/>
      </c>
      <c r="G144" s="11" t="n"/>
      <c r="H144" s="23">
        <f>IF(OR(A144="",N(C144)=0),"",G144/C144)</f>
        <v/>
      </c>
      <c r="I144" s="11" t="n"/>
      <c r="J144" s="11" t="n"/>
      <c r="K144" s="12" t="n"/>
      <c r="L144" s="12" t="n"/>
      <c r="M144" s="11" t="n"/>
      <c r="N144" s="11" t="n"/>
      <c r="O144" s="11" t="n"/>
    </row>
    <row r="145">
      <c r="A145" s="21" t="n"/>
      <c r="B145" s="11" t="n"/>
      <c r="C145" s="11" t="n"/>
      <c r="D145" s="11" t="n"/>
      <c r="E145" s="11" t="n"/>
      <c r="F145" s="22">
        <f>IF(A145="","",SUM(C145:E145))</f>
        <v/>
      </c>
      <c r="G145" s="11" t="n"/>
      <c r="H145" s="23">
        <f>IF(OR(A145="",N(C145)=0),"",G145/C145)</f>
        <v/>
      </c>
      <c r="I145" s="11" t="n"/>
      <c r="J145" s="11" t="n"/>
      <c r="K145" s="12" t="n"/>
      <c r="L145" s="12" t="n"/>
      <c r="M145" s="11" t="n"/>
      <c r="N145" s="11" t="n"/>
      <c r="O145" s="11" t="n"/>
    </row>
    <row r="146">
      <c r="A146" s="21" t="n"/>
      <c r="B146" s="11" t="n"/>
      <c r="C146" s="11" t="n"/>
      <c r="D146" s="11" t="n"/>
      <c r="E146" s="11" t="n"/>
      <c r="F146" s="22">
        <f>IF(A146="","",SUM(C146:E146))</f>
        <v/>
      </c>
      <c r="G146" s="11" t="n"/>
      <c r="H146" s="23">
        <f>IF(OR(A146="",N(C146)=0),"",G146/C146)</f>
        <v/>
      </c>
      <c r="I146" s="11" t="n"/>
      <c r="J146" s="11" t="n"/>
      <c r="K146" s="12" t="n"/>
      <c r="L146" s="12" t="n"/>
      <c r="M146" s="11" t="n"/>
      <c r="N146" s="11" t="n"/>
      <c r="O146" s="11" t="n"/>
    </row>
    <row r="147">
      <c r="A147" s="21" t="n"/>
      <c r="B147" s="11" t="n"/>
      <c r="C147" s="11" t="n"/>
      <c r="D147" s="11" t="n"/>
      <c r="E147" s="11" t="n"/>
      <c r="F147" s="22">
        <f>IF(A147="","",SUM(C147:E147))</f>
        <v/>
      </c>
      <c r="G147" s="11" t="n"/>
      <c r="H147" s="23">
        <f>IF(OR(A147="",N(C147)=0),"",G147/C147)</f>
        <v/>
      </c>
      <c r="I147" s="11" t="n"/>
      <c r="J147" s="11" t="n"/>
      <c r="K147" s="12" t="n"/>
      <c r="L147" s="12" t="n"/>
      <c r="M147" s="11" t="n"/>
      <c r="N147" s="11" t="n"/>
      <c r="O147" s="11" t="n"/>
    </row>
    <row r="148">
      <c r="A148" s="21" t="n"/>
      <c r="B148" s="11" t="n"/>
      <c r="C148" s="11" t="n"/>
      <c r="D148" s="11" t="n"/>
      <c r="E148" s="11" t="n"/>
      <c r="F148" s="22">
        <f>IF(A148="","",SUM(C148:E148))</f>
        <v/>
      </c>
      <c r="G148" s="11" t="n"/>
      <c r="H148" s="23">
        <f>IF(OR(A148="",N(C148)=0),"",G148/C148)</f>
        <v/>
      </c>
      <c r="I148" s="11" t="n"/>
      <c r="J148" s="11" t="n"/>
      <c r="K148" s="12" t="n"/>
      <c r="L148" s="12" t="n"/>
      <c r="M148" s="11" t="n"/>
      <c r="N148" s="11" t="n"/>
      <c r="O148" s="11" t="n"/>
    </row>
    <row r="149">
      <c r="A149" s="21" t="n"/>
      <c r="B149" s="11" t="n"/>
      <c r="C149" s="11" t="n"/>
      <c r="D149" s="11" t="n"/>
      <c r="E149" s="11" t="n"/>
      <c r="F149" s="22">
        <f>IF(A149="","",SUM(C149:E149))</f>
        <v/>
      </c>
      <c r="G149" s="11" t="n"/>
      <c r="H149" s="23">
        <f>IF(OR(A149="",N(C149)=0),"",G149/C149)</f>
        <v/>
      </c>
      <c r="I149" s="11" t="n"/>
      <c r="J149" s="11" t="n"/>
      <c r="K149" s="12" t="n"/>
      <c r="L149" s="12" t="n"/>
      <c r="M149" s="11" t="n"/>
      <c r="N149" s="11" t="n"/>
      <c r="O149" s="11" t="n"/>
    </row>
    <row r="150">
      <c r="A150" s="21" t="n"/>
      <c r="B150" s="11" t="n"/>
      <c r="C150" s="11" t="n"/>
      <c r="D150" s="11" t="n"/>
      <c r="E150" s="11" t="n"/>
      <c r="F150" s="22">
        <f>IF(A150="","",SUM(C150:E150))</f>
        <v/>
      </c>
      <c r="G150" s="11" t="n"/>
      <c r="H150" s="23">
        <f>IF(OR(A150="",N(C150)=0),"",G150/C150)</f>
        <v/>
      </c>
      <c r="I150" s="11" t="n"/>
      <c r="J150" s="11" t="n"/>
      <c r="K150" s="12" t="n"/>
      <c r="L150" s="12" t="n"/>
      <c r="M150" s="11" t="n"/>
      <c r="N150" s="11" t="n"/>
      <c r="O150" s="11" t="n"/>
    </row>
    <row r="151">
      <c r="A151" s="21" t="n"/>
      <c r="B151" s="11" t="n"/>
      <c r="C151" s="11" t="n"/>
      <c r="D151" s="11" t="n"/>
      <c r="E151" s="11" t="n"/>
      <c r="F151" s="22">
        <f>IF(A151="","",SUM(C151:E151))</f>
        <v/>
      </c>
      <c r="G151" s="11" t="n"/>
      <c r="H151" s="23">
        <f>IF(OR(A151="",N(C151)=0),"",G151/C151)</f>
        <v/>
      </c>
      <c r="I151" s="11" t="n"/>
      <c r="J151" s="11" t="n"/>
      <c r="K151" s="12" t="n"/>
      <c r="L151" s="12" t="n"/>
      <c r="M151" s="11" t="n"/>
      <c r="N151" s="11" t="n"/>
      <c r="O151" s="11" t="n"/>
    </row>
    <row r="152">
      <c r="A152" s="21" t="n"/>
      <c r="B152" s="11" t="n"/>
      <c r="C152" s="11" t="n"/>
      <c r="D152" s="11" t="n"/>
      <c r="E152" s="11" t="n"/>
      <c r="F152" s="22">
        <f>IF(A152="","",SUM(C152:E152))</f>
        <v/>
      </c>
      <c r="G152" s="11" t="n"/>
      <c r="H152" s="23">
        <f>IF(OR(A152="",N(C152)=0),"",G152/C152)</f>
        <v/>
      </c>
      <c r="I152" s="11" t="n"/>
      <c r="J152" s="11" t="n"/>
      <c r="K152" s="12" t="n"/>
      <c r="L152" s="12" t="n"/>
      <c r="M152" s="11" t="n"/>
      <c r="N152" s="11" t="n"/>
      <c r="O152" s="11" t="n"/>
    </row>
    <row r="153">
      <c r="A153" s="21" t="n"/>
      <c r="B153" s="11" t="n"/>
      <c r="C153" s="11" t="n"/>
      <c r="D153" s="11" t="n"/>
      <c r="E153" s="11" t="n"/>
      <c r="F153" s="22">
        <f>IF(A153="","",SUM(C153:E153))</f>
        <v/>
      </c>
      <c r="G153" s="11" t="n"/>
      <c r="H153" s="23">
        <f>IF(OR(A153="",N(C153)=0),"",G153/C153)</f>
        <v/>
      </c>
      <c r="I153" s="11" t="n"/>
      <c r="J153" s="11" t="n"/>
      <c r="K153" s="12" t="n"/>
      <c r="L153" s="12" t="n"/>
      <c r="M153" s="11" t="n"/>
      <c r="N153" s="11" t="n"/>
      <c r="O153" s="11" t="n"/>
    </row>
    <row r="154">
      <c r="A154" s="21" t="n"/>
      <c r="B154" s="11" t="n"/>
      <c r="C154" s="11" t="n"/>
      <c r="D154" s="11" t="n"/>
      <c r="E154" s="11" t="n"/>
      <c r="F154" s="22">
        <f>IF(A154="","",SUM(C154:E154))</f>
        <v/>
      </c>
      <c r="G154" s="11" t="n"/>
      <c r="H154" s="23">
        <f>IF(OR(A154="",N(C154)=0),"",G154/C154)</f>
        <v/>
      </c>
      <c r="I154" s="11" t="n"/>
      <c r="J154" s="11" t="n"/>
      <c r="K154" s="12" t="n"/>
      <c r="L154" s="12" t="n"/>
      <c r="M154" s="11" t="n"/>
      <c r="N154" s="11" t="n"/>
      <c r="O154" s="11" t="n"/>
    </row>
    <row r="155">
      <c r="A155" s="21" t="n"/>
      <c r="B155" s="11" t="n"/>
      <c r="C155" s="11" t="n"/>
      <c r="D155" s="11" t="n"/>
      <c r="E155" s="11" t="n"/>
      <c r="F155" s="22">
        <f>IF(A155="","",SUM(C155:E155))</f>
        <v/>
      </c>
      <c r="G155" s="11" t="n"/>
      <c r="H155" s="23">
        <f>IF(OR(A155="",N(C155)=0),"",G155/C155)</f>
        <v/>
      </c>
      <c r="I155" s="11" t="n"/>
      <c r="J155" s="11" t="n"/>
      <c r="K155" s="12" t="n"/>
      <c r="L155" s="12" t="n"/>
      <c r="M155" s="11" t="n"/>
      <c r="N155" s="11" t="n"/>
      <c r="O155" s="11" t="n"/>
    </row>
    <row r="156">
      <c r="A156" s="21" t="n"/>
      <c r="B156" s="11" t="n"/>
      <c r="C156" s="11" t="n"/>
      <c r="D156" s="11" t="n"/>
      <c r="E156" s="11" t="n"/>
      <c r="F156" s="22">
        <f>IF(A156="","",SUM(C156:E156))</f>
        <v/>
      </c>
      <c r="G156" s="11" t="n"/>
      <c r="H156" s="23">
        <f>IF(OR(A156="",N(C156)=0),"",G156/C156)</f>
        <v/>
      </c>
      <c r="I156" s="11" t="n"/>
      <c r="J156" s="11" t="n"/>
      <c r="K156" s="12" t="n"/>
      <c r="L156" s="12" t="n"/>
      <c r="M156" s="11" t="n"/>
      <c r="N156" s="11" t="n"/>
      <c r="O156" s="11" t="n"/>
    </row>
    <row r="157">
      <c r="A157" s="21" t="n"/>
      <c r="B157" s="11" t="n"/>
      <c r="C157" s="11" t="n"/>
      <c r="D157" s="11" t="n"/>
      <c r="E157" s="11" t="n"/>
      <c r="F157" s="22">
        <f>IF(A157="","",SUM(C157:E157))</f>
        <v/>
      </c>
      <c r="G157" s="11" t="n"/>
      <c r="H157" s="23">
        <f>IF(OR(A157="",N(C157)=0),"",G157/C157)</f>
        <v/>
      </c>
      <c r="I157" s="11" t="n"/>
      <c r="J157" s="11" t="n"/>
      <c r="K157" s="12" t="n"/>
      <c r="L157" s="12" t="n"/>
      <c r="M157" s="11" t="n"/>
      <c r="N157" s="11" t="n"/>
      <c r="O157" s="11" t="n"/>
    </row>
    <row r="158">
      <c r="A158" s="21" t="n"/>
      <c r="B158" s="11" t="n"/>
      <c r="C158" s="11" t="n"/>
      <c r="D158" s="11" t="n"/>
      <c r="E158" s="11" t="n"/>
      <c r="F158" s="22">
        <f>IF(A158="","",SUM(C158:E158))</f>
        <v/>
      </c>
      <c r="G158" s="11" t="n"/>
      <c r="H158" s="23">
        <f>IF(OR(A158="",N(C158)=0),"",G158/C158)</f>
        <v/>
      </c>
      <c r="I158" s="11" t="n"/>
      <c r="J158" s="11" t="n"/>
      <c r="K158" s="12" t="n"/>
      <c r="L158" s="12" t="n"/>
      <c r="M158" s="11" t="n"/>
      <c r="N158" s="11" t="n"/>
      <c r="O158" s="11" t="n"/>
    </row>
    <row r="159">
      <c r="A159" s="21" t="n"/>
      <c r="B159" s="11" t="n"/>
      <c r="C159" s="11" t="n"/>
      <c r="D159" s="11" t="n"/>
      <c r="E159" s="11" t="n"/>
      <c r="F159" s="22">
        <f>IF(A159="","",SUM(C159:E159))</f>
        <v/>
      </c>
      <c r="G159" s="11" t="n"/>
      <c r="H159" s="23">
        <f>IF(OR(A159="",N(C159)=0),"",G159/C159)</f>
        <v/>
      </c>
      <c r="I159" s="11" t="n"/>
      <c r="J159" s="11" t="n"/>
      <c r="K159" s="12" t="n"/>
      <c r="L159" s="12" t="n"/>
      <c r="M159" s="11" t="n"/>
      <c r="N159" s="11" t="n"/>
      <c r="O159" s="11" t="n"/>
    </row>
    <row r="160">
      <c r="A160" s="21" t="n"/>
      <c r="B160" s="11" t="n"/>
      <c r="C160" s="11" t="n"/>
      <c r="D160" s="11" t="n"/>
      <c r="E160" s="11" t="n"/>
      <c r="F160" s="22">
        <f>IF(A160="","",SUM(C160:E160))</f>
        <v/>
      </c>
      <c r="G160" s="11" t="n"/>
      <c r="H160" s="23">
        <f>IF(OR(A160="",N(C160)=0),"",G160/C160)</f>
        <v/>
      </c>
      <c r="I160" s="11" t="n"/>
      <c r="J160" s="11" t="n"/>
      <c r="K160" s="12" t="n"/>
      <c r="L160" s="12" t="n"/>
      <c r="M160" s="11" t="n"/>
      <c r="N160" s="11" t="n"/>
      <c r="O160" s="11" t="n"/>
    </row>
    <row r="161">
      <c r="A161" s="21" t="n"/>
      <c r="B161" s="11" t="n"/>
      <c r="C161" s="11" t="n"/>
      <c r="D161" s="11" t="n"/>
      <c r="E161" s="11" t="n"/>
      <c r="F161" s="22">
        <f>IF(A161="","",SUM(C161:E161))</f>
        <v/>
      </c>
      <c r="G161" s="11" t="n"/>
      <c r="H161" s="23">
        <f>IF(OR(A161="",N(C161)=0),"",G161/C161)</f>
        <v/>
      </c>
      <c r="I161" s="11" t="n"/>
      <c r="J161" s="11" t="n"/>
      <c r="K161" s="12" t="n"/>
      <c r="L161" s="12" t="n"/>
      <c r="M161" s="11" t="n"/>
      <c r="N161" s="11" t="n"/>
      <c r="O161" s="11" t="n"/>
    </row>
    <row r="162">
      <c r="A162" s="21" t="n"/>
      <c r="B162" s="11" t="n"/>
      <c r="C162" s="11" t="n"/>
      <c r="D162" s="11" t="n"/>
      <c r="E162" s="11" t="n"/>
      <c r="F162" s="22">
        <f>IF(A162="","",SUM(C162:E162))</f>
        <v/>
      </c>
      <c r="G162" s="11" t="n"/>
      <c r="H162" s="23">
        <f>IF(OR(A162="",N(C162)=0),"",G162/C162)</f>
        <v/>
      </c>
      <c r="I162" s="11" t="n"/>
      <c r="J162" s="11" t="n"/>
      <c r="K162" s="12" t="n"/>
      <c r="L162" s="12" t="n"/>
      <c r="M162" s="11" t="n"/>
      <c r="N162" s="11" t="n"/>
      <c r="O162" s="11" t="n"/>
    </row>
    <row r="163">
      <c r="A163" s="21" t="n"/>
      <c r="B163" s="11" t="n"/>
      <c r="C163" s="11" t="n"/>
      <c r="D163" s="11" t="n"/>
      <c r="E163" s="11" t="n"/>
      <c r="F163" s="22">
        <f>IF(A163="","",SUM(C163:E163))</f>
        <v/>
      </c>
      <c r="G163" s="11" t="n"/>
      <c r="H163" s="23">
        <f>IF(OR(A163="",N(C163)=0),"",G163/C163)</f>
        <v/>
      </c>
      <c r="I163" s="11" t="n"/>
      <c r="J163" s="11" t="n"/>
      <c r="K163" s="12" t="n"/>
      <c r="L163" s="12" t="n"/>
      <c r="M163" s="11" t="n"/>
      <c r="N163" s="11" t="n"/>
      <c r="O163" s="11" t="n"/>
    </row>
    <row r="164">
      <c r="A164" s="21" t="n"/>
      <c r="B164" s="11" t="n"/>
      <c r="C164" s="11" t="n"/>
      <c r="D164" s="11" t="n"/>
      <c r="E164" s="11" t="n"/>
      <c r="F164" s="22">
        <f>IF(A164="","",SUM(C164:E164))</f>
        <v/>
      </c>
      <c r="G164" s="11" t="n"/>
      <c r="H164" s="23">
        <f>IF(OR(A164="",N(C164)=0),"",G164/C164)</f>
        <v/>
      </c>
      <c r="I164" s="11" t="n"/>
      <c r="J164" s="11" t="n"/>
      <c r="K164" s="12" t="n"/>
      <c r="L164" s="12" t="n"/>
      <c r="M164" s="11" t="n"/>
      <c r="N164" s="11" t="n"/>
      <c r="O164" s="11" t="n"/>
    </row>
    <row r="165">
      <c r="A165" s="21" t="n"/>
      <c r="B165" s="11" t="n"/>
      <c r="C165" s="11" t="n"/>
      <c r="D165" s="11" t="n"/>
      <c r="E165" s="11" t="n"/>
      <c r="F165" s="22">
        <f>IF(A165="","",SUM(C165:E165))</f>
        <v/>
      </c>
      <c r="G165" s="11" t="n"/>
      <c r="H165" s="23">
        <f>IF(OR(A165="",N(C165)=0),"",G165/C165)</f>
        <v/>
      </c>
      <c r="I165" s="11" t="n"/>
      <c r="J165" s="11" t="n"/>
      <c r="K165" s="12" t="n"/>
      <c r="L165" s="12" t="n"/>
      <c r="M165" s="11" t="n"/>
      <c r="N165" s="11" t="n"/>
      <c r="O165" s="11" t="n"/>
    </row>
    <row r="166">
      <c r="A166" s="21" t="n"/>
      <c r="B166" s="11" t="n"/>
      <c r="C166" s="11" t="n"/>
      <c r="D166" s="11" t="n"/>
      <c r="E166" s="11" t="n"/>
      <c r="F166" s="22">
        <f>IF(A166="","",SUM(C166:E166))</f>
        <v/>
      </c>
      <c r="G166" s="11" t="n"/>
      <c r="H166" s="23">
        <f>IF(OR(A166="",N(C166)=0),"",G166/C166)</f>
        <v/>
      </c>
      <c r="I166" s="11" t="n"/>
      <c r="J166" s="11" t="n"/>
      <c r="K166" s="12" t="n"/>
      <c r="L166" s="12" t="n"/>
      <c r="M166" s="11" t="n"/>
      <c r="N166" s="11" t="n"/>
      <c r="O166" s="11" t="n"/>
    </row>
    <row r="167">
      <c r="A167" s="21" t="n"/>
      <c r="B167" s="11" t="n"/>
      <c r="C167" s="11" t="n"/>
      <c r="D167" s="11" t="n"/>
      <c r="E167" s="11" t="n"/>
      <c r="F167" s="22">
        <f>IF(A167="","",SUM(C167:E167))</f>
        <v/>
      </c>
      <c r="G167" s="11" t="n"/>
      <c r="H167" s="23">
        <f>IF(OR(A167="",N(C167)=0),"",G167/C167)</f>
        <v/>
      </c>
      <c r="I167" s="11" t="n"/>
      <c r="J167" s="11" t="n"/>
      <c r="K167" s="12" t="n"/>
      <c r="L167" s="12" t="n"/>
      <c r="M167" s="11" t="n"/>
      <c r="N167" s="11" t="n"/>
      <c r="O167" s="11" t="n"/>
    </row>
    <row r="168">
      <c r="A168" s="21" t="n"/>
      <c r="B168" s="11" t="n"/>
      <c r="C168" s="11" t="n"/>
      <c r="D168" s="11" t="n"/>
      <c r="E168" s="11" t="n"/>
      <c r="F168" s="22">
        <f>IF(A168="","",SUM(C168:E168))</f>
        <v/>
      </c>
      <c r="G168" s="11" t="n"/>
      <c r="H168" s="23">
        <f>IF(OR(A168="",N(C168)=0),"",G168/C168)</f>
        <v/>
      </c>
      <c r="I168" s="11" t="n"/>
      <c r="J168" s="11" t="n"/>
      <c r="K168" s="12" t="n"/>
      <c r="L168" s="12" t="n"/>
      <c r="M168" s="11" t="n"/>
      <c r="N168" s="11" t="n"/>
      <c r="O168" s="11" t="n"/>
    </row>
    <row r="169">
      <c r="A169" s="21" t="n"/>
      <c r="B169" s="11" t="n"/>
      <c r="C169" s="11" t="n"/>
      <c r="D169" s="11" t="n"/>
      <c r="E169" s="11" t="n"/>
      <c r="F169" s="22">
        <f>IF(A169="","",SUM(C169:E169))</f>
        <v/>
      </c>
      <c r="G169" s="11" t="n"/>
      <c r="H169" s="23">
        <f>IF(OR(A169="",N(C169)=0),"",G169/C169)</f>
        <v/>
      </c>
      <c r="I169" s="11" t="n"/>
      <c r="J169" s="11" t="n"/>
      <c r="K169" s="12" t="n"/>
      <c r="L169" s="12" t="n"/>
      <c r="M169" s="11" t="n"/>
      <c r="N169" s="11" t="n"/>
      <c r="O169" s="11" t="n"/>
    </row>
    <row r="170">
      <c r="A170" s="21" t="n"/>
      <c r="B170" s="11" t="n"/>
      <c r="C170" s="11" t="n"/>
      <c r="D170" s="11" t="n"/>
      <c r="E170" s="11" t="n"/>
      <c r="F170" s="22">
        <f>IF(A170="","",SUM(C170:E170))</f>
        <v/>
      </c>
      <c r="G170" s="11" t="n"/>
      <c r="H170" s="23">
        <f>IF(OR(A170="",N(C170)=0),"",G170/C170)</f>
        <v/>
      </c>
      <c r="I170" s="11" t="n"/>
      <c r="J170" s="11" t="n"/>
      <c r="K170" s="12" t="n"/>
      <c r="L170" s="12" t="n"/>
      <c r="M170" s="11" t="n"/>
      <c r="N170" s="11" t="n"/>
      <c r="O170" s="11" t="n"/>
    </row>
    <row r="171">
      <c r="A171" s="21" t="n"/>
      <c r="B171" s="11" t="n"/>
      <c r="C171" s="11" t="n"/>
      <c r="D171" s="11" t="n"/>
      <c r="E171" s="11" t="n"/>
      <c r="F171" s="22">
        <f>IF(A171="","",SUM(C171:E171))</f>
        <v/>
      </c>
      <c r="G171" s="11" t="n"/>
      <c r="H171" s="23">
        <f>IF(OR(A171="",N(C171)=0),"",G171/C171)</f>
        <v/>
      </c>
      <c r="I171" s="11" t="n"/>
      <c r="J171" s="11" t="n"/>
      <c r="K171" s="12" t="n"/>
      <c r="L171" s="12" t="n"/>
      <c r="M171" s="11" t="n"/>
      <c r="N171" s="11" t="n"/>
      <c r="O171" s="11" t="n"/>
    </row>
    <row r="172">
      <c r="A172" s="21" t="n"/>
      <c r="B172" s="11" t="n"/>
      <c r="C172" s="11" t="n"/>
      <c r="D172" s="11" t="n"/>
      <c r="E172" s="11" t="n"/>
      <c r="F172" s="22">
        <f>IF(A172="","",SUM(C172:E172))</f>
        <v/>
      </c>
      <c r="G172" s="11" t="n"/>
      <c r="H172" s="23">
        <f>IF(OR(A172="",N(C172)=0),"",G172/C172)</f>
        <v/>
      </c>
      <c r="I172" s="11" t="n"/>
      <c r="J172" s="11" t="n"/>
      <c r="K172" s="12" t="n"/>
      <c r="L172" s="12" t="n"/>
      <c r="M172" s="11" t="n"/>
      <c r="N172" s="11" t="n"/>
      <c r="O172" s="11" t="n"/>
    </row>
    <row r="173">
      <c r="A173" s="21" t="n"/>
      <c r="B173" s="11" t="n"/>
      <c r="C173" s="11" t="n"/>
      <c r="D173" s="11" t="n"/>
      <c r="E173" s="11" t="n"/>
      <c r="F173" s="22">
        <f>IF(A173="","",SUM(C173:E173))</f>
        <v/>
      </c>
      <c r="G173" s="11" t="n"/>
      <c r="H173" s="23">
        <f>IF(OR(A173="",N(C173)=0),"",G173/C173)</f>
        <v/>
      </c>
      <c r="I173" s="11" t="n"/>
      <c r="J173" s="11" t="n"/>
      <c r="K173" s="12" t="n"/>
      <c r="L173" s="12" t="n"/>
      <c r="M173" s="11" t="n"/>
      <c r="N173" s="11" t="n"/>
      <c r="O173" s="11" t="n"/>
    </row>
    <row r="174">
      <c r="A174" s="21" t="n"/>
      <c r="B174" s="11" t="n"/>
      <c r="C174" s="11" t="n"/>
      <c r="D174" s="11" t="n"/>
      <c r="E174" s="11" t="n"/>
      <c r="F174" s="22">
        <f>IF(A174="","",SUM(C174:E174))</f>
        <v/>
      </c>
      <c r="G174" s="11" t="n"/>
      <c r="H174" s="23">
        <f>IF(OR(A174="",N(C174)=0),"",G174/C174)</f>
        <v/>
      </c>
      <c r="I174" s="11" t="n"/>
      <c r="J174" s="11" t="n"/>
      <c r="K174" s="12" t="n"/>
      <c r="L174" s="12" t="n"/>
      <c r="M174" s="11" t="n"/>
      <c r="N174" s="11" t="n"/>
      <c r="O174" s="11" t="n"/>
    </row>
    <row r="175">
      <c r="A175" s="21" t="n"/>
      <c r="B175" s="11" t="n"/>
      <c r="C175" s="11" t="n"/>
      <c r="D175" s="11" t="n"/>
      <c r="E175" s="11" t="n"/>
      <c r="F175" s="22">
        <f>IF(A175="","",SUM(C175:E175))</f>
        <v/>
      </c>
      <c r="G175" s="11" t="n"/>
      <c r="H175" s="23">
        <f>IF(OR(A175="",N(C175)=0),"",G175/C175)</f>
        <v/>
      </c>
      <c r="I175" s="11" t="n"/>
      <c r="J175" s="11" t="n"/>
      <c r="K175" s="12" t="n"/>
      <c r="L175" s="12" t="n"/>
      <c r="M175" s="11" t="n"/>
      <c r="N175" s="11" t="n"/>
      <c r="O175" s="11" t="n"/>
    </row>
    <row r="176">
      <c r="A176" s="21" t="n"/>
      <c r="B176" s="11" t="n"/>
      <c r="C176" s="11" t="n"/>
      <c r="D176" s="11" t="n"/>
      <c r="E176" s="11" t="n"/>
      <c r="F176" s="22">
        <f>IF(A176="","",SUM(C176:E176))</f>
        <v/>
      </c>
      <c r="G176" s="11" t="n"/>
      <c r="H176" s="23">
        <f>IF(OR(A176="",N(C176)=0),"",G176/C176)</f>
        <v/>
      </c>
      <c r="I176" s="11" t="n"/>
      <c r="J176" s="11" t="n"/>
      <c r="K176" s="12" t="n"/>
      <c r="L176" s="12" t="n"/>
      <c r="M176" s="11" t="n"/>
      <c r="N176" s="11" t="n"/>
      <c r="O176" s="11" t="n"/>
    </row>
    <row r="177">
      <c r="A177" s="21" t="n"/>
      <c r="B177" s="11" t="n"/>
      <c r="C177" s="11" t="n"/>
      <c r="D177" s="11" t="n"/>
      <c r="E177" s="11" t="n"/>
      <c r="F177" s="22">
        <f>IF(A177="","",SUM(C177:E177))</f>
        <v/>
      </c>
      <c r="G177" s="11" t="n"/>
      <c r="H177" s="23">
        <f>IF(OR(A177="",N(C177)=0),"",G177/C177)</f>
        <v/>
      </c>
      <c r="I177" s="11" t="n"/>
      <c r="J177" s="11" t="n"/>
      <c r="K177" s="12" t="n"/>
      <c r="L177" s="12" t="n"/>
      <c r="M177" s="11" t="n"/>
      <c r="N177" s="11" t="n"/>
      <c r="O177" s="11" t="n"/>
    </row>
    <row r="178">
      <c r="A178" s="21" t="n"/>
      <c r="B178" s="11" t="n"/>
      <c r="C178" s="11" t="n"/>
      <c r="D178" s="11" t="n"/>
      <c r="E178" s="11" t="n"/>
      <c r="F178" s="22">
        <f>IF(A178="","",SUM(C178:E178))</f>
        <v/>
      </c>
      <c r="G178" s="11" t="n"/>
      <c r="H178" s="23">
        <f>IF(OR(A178="",N(C178)=0),"",G178/C178)</f>
        <v/>
      </c>
      <c r="I178" s="11" t="n"/>
      <c r="J178" s="11" t="n"/>
      <c r="K178" s="12" t="n"/>
      <c r="L178" s="12" t="n"/>
      <c r="M178" s="11" t="n"/>
      <c r="N178" s="11" t="n"/>
      <c r="O178" s="11" t="n"/>
    </row>
    <row r="179">
      <c r="A179" s="21" t="n"/>
      <c r="B179" s="11" t="n"/>
      <c r="C179" s="11" t="n"/>
      <c r="D179" s="11" t="n"/>
      <c r="E179" s="11" t="n"/>
      <c r="F179" s="22">
        <f>IF(A179="","",SUM(C179:E179))</f>
        <v/>
      </c>
      <c r="G179" s="11" t="n"/>
      <c r="H179" s="23">
        <f>IF(OR(A179="",N(C179)=0),"",G179/C179)</f>
        <v/>
      </c>
      <c r="I179" s="11" t="n"/>
      <c r="J179" s="11" t="n"/>
      <c r="K179" s="12" t="n"/>
      <c r="L179" s="12" t="n"/>
      <c r="M179" s="11" t="n"/>
      <c r="N179" s="11" t="n"/>
      <c r="O179" s="11" t="n"/>
    </row>
    <row r="180">
      <c r="A180" s="21" t="n"/>
      <c r="B180" s="11" t="n"/>
      <c r="C180" s="11" t="n"/>
      <c r="D180" s="11" t="n"/>
      <c r="E180" s="11" t="n"/>
      <c r="F180" s="22">
        <f>IF(A180="","",SUM(C180:E180))</f>
        <v/>
      </c>
      <c r="G180" s="11" t="n"/>
      <c r="H180" s="23">
        <f>IF(OR(A180="",N(C180)=0),"",G180/C180)</f>
        <v/>
      </c>
      <c r="I180" s="11" t="n"/>
      <c r="J180" s="11" t="n"/>
      <c r="K180" s="12" t="n"/>
      <c r="L180" s="12" t="n"/>
      <c r="M180" s="11" t="n"/>
      <c r="N180" s="11" t="n"/>
      <c r="O180" s="11" t="n"/>
    </row>
    <row r="181">
      <c r="A181" s="21" t="n"/>
      <c r="B181" s="11" t="n"/>
      <c r="C181" s="11" t="n"/>
      <c r="D181" s="11" t="n"/>
      <c r="E181" s="11" t="n"/>
      <c r="F181" s="22">
        <f>IF(A181="","",SUM(C181:E181))</f>
        <v/>
      </c>
      <c r="G181" s="11" t="n"/>
      <c r="H181" s="23">
        <f>IF(OR(A181="",N(C181)=0),"",G181/C181)</f>
        <v/>
      </c>
      <c r="I181" s="11" t="n"/>
      <c r="J181" s="11" t="n"/>
      <c r="K181" s="12" t="n"/>
      <c r="L181" s="12" t="n"/>
      <c r="M181" s="11" t="n"/>
      <c r="N181" s="11" t="n"/>
      <c r="O181" s="11" t="n"/>
    </row>
    <row r="182">
      <c r="A182" s="21" t="n"/>
      <c r="B182" s="11" t="n"/>
      <c r="C182" s="11" t="n"/>
      <c r="D182" s="11" t="n"/>
      <c r="E182" s="11" t="n"/>
      <c r="F182" s="22">
        <f>IF(A182="","",SUM(C182:E182))</f>
        <v/>
      </c>
      <c r="G182" s="11" t="n"/>
      <c r="H182" s="23">
        <f>IF(OR(A182="",N(C182)=0),"",G182/C182)</f>
        <v/>
      </c>
      <c r="I182" s="11" t="n"/>
      <c r="J182" s="11" t="n"/>
      <c r="K182" s="12" t="n"/>
      <c r="L182" s="12" t="n"/>
      <c r="M182" s="11" t="n"/>
      <c r="N182" s="11" t="n"/>
      <c r="O182" s="11" t="n"/>
    </row>
    <row r="183">
      <c r="A183" s="21" t="n"/>
      <c r="B183" s="11" t="n"/>
      <c r="C183" s="11" t="n"/>
      <c r="D183" s="11" t="n"/>
      <c r="E183" s="11" t="n"/>
      <c r="F183" s="22">
        <f>IF(A183="","",SUM(C183:E183))</f>
        <v/>
      </c>
      <c r="G183" s="11" t="n"/>
      <c r="H183" s="23">
        <f>IF(OR(A183="",N(C183)=0),"",G183/C183)</f>
        <v/>
      </c>
      <c r="I183" s="11" t="n"/>
      <c r="J183" s="11" t="n"/>
      <c r="K183" s="12" t="n"/>
      <c r="L183" s="12" t="n"/>
      <c r="M183" s="11" t="n"/>
      <c r="N183" s="11" t="n"/>
      <c r="O183" s="11" t="n"/>
    </row>
    <row r="184">
      <c r="A184" s="21" t="n"/>
      <c r="B184" s="11" t="n"/>
      <c r="C184" s="11" t="n"/>
      <c r="D184" s="11" t="n"/>
      <c r="E184" s="11" t="n"/>
      <c r="F184" s="22">
        <f>IF(A184="","",SUM(C184:E184))</f>
        <v/>
      </c>
      <c r="G184" s="11" t="n"/>
      <c r="H184" s="23">
        <f>IF(OR(A184="",N(C184)=0),"",G184/C184)</f>
        <v/>
      </c>
      <c r="I184" s="11" t="n"/>
      <c r="J184" s="11" t="n"/>
      <c r="K184" s="12" t="n"/>
      <c r="L184" s="12" t="n"/>
      <c r="M184" s="11" t="n"/>
      <c r="N184" s="11" t="n"/>
      <c r="O184" s="11" t="n"/>
    </row>
    <row r="185">
      <c r="A185" s="21" t="n"/>
      <c r="B185" s="11" t="n"/>
      <c r="C185" s="11" t="n"/>
      <c r="D185" s="11" t="n"/>
      <c r="E185" s="11" t="n"/>
      <c r="F185" s="22">
        <f>IF(A185="","",SUM(C185:E185))</f>
        <v/>
      </c>
      <c r="G185" s="11" t="n"/>
      <c r="H185" s="23">
        <f>IF(OR(A185="",N(C185)=0),"",G185/C185)</f>
        <v/>
      </c>
      <c r="I185" s="11" t="n"/>
      <c r="J185" s="11" t="n"/>
      <c r="K185" s="12" t="n"/>
      <c r="L185" s="12" t="n"/>
      <c r="M185" s="11" t="n"/>
      <c r="N185" s="11" t="n"/>
      <c r="O185" s="11" t="n"/>
    </row>
    <row r="186">
      <c r="A186" s="21" t="n"/>
      <c r="B186" s="11" t="n"/>
      <c r="C186" s="11" t="n"/>
      <c r="D186" s="11" t="n"/>
      <c r="E186" s="11" t="n"/>
      <c r="F186" s="22">
        <f>IF(A186="","",SUM(C186:E186))</f>
        <v/>
      </c>
      <c r="G186" s="11" t="n"/>
      <c r="H186" s="23">
        <f>IF(OR(A186="",N(C186)=0),"",G186/C186)</f>
        <v/>
      </c>
      <c r="I186" s="11" t="n"/>
      <c r="J186" s="11" t="n"/>
      <c r="K186" s="12" t="n"/>
      <c r="L186" s="12" t="n"/>
      <c r="M186" s="11" t="n"/>
      <c r="N186" s="11" t="n"/>
      <c r="O186" s="11" t="n"/>
    </row>
    <row r="187">
      <c r="A187" s="21" t="n"/>
      <c r="B187" s="11" t="n"/>
      <c r="C187" s="11" t="n"/>
      <c r="D187" s="11" t="n"/>
      <c r="E187" s="11" t="n"/>
      <c r="F187" s="22">
        <f>IF(A187="","",SUM(C187:E187))</f>
        <v/>
      </c>
      <c r="G187" s="11" t="n"/>
      <c r="H187" s="23">
        <f>IF(OR(A187="",N(C187)=0),"",G187/C187)</f>
        <v/>
      </c>
      <c r="I187" s="11" t="n"/>
      <c r="J187" s="11" t="n"/>
      <c r="K187" s="12" t="n"/>
      <c r="L187" s="12" t="n"/>
      <c r="M187" s="11" t="n"/>
      <c r="N187" s="11" t="n"/>
      <c r="O187" s="11" t="n"/>
    </row>
    <row r="188">
      <c r="A188" s="21" t="n"/>
      <c r="B188" s="11" t="n"/>
      <c r="C188" s="11" t="n"/>
      <c r="D188" s="11" t="n"/>
      <c r="E188" s="11" t="n"/>
      <c r="F188" s="22">
        <f>IF(A188="","",SUM(C188:E188))</f>
        <v/>
      </c>
      <c r="G188" s="11" t="n"/>
      <c r="H188" s="23">
        <f>IF(OR(A188="",N(C188)=0),"",G188/C188)</f>
        <v/>
      </c>
      <c r="I188" s="11" t="n"/>
      <c r="J188" s="11" t="n"/>
      <c r="K188" s="12" t="n"/>
      <c r="L188" s="12" t="n"/>
      <c r="M188" s="11" t="n"/>
      <c r="N188" s="11" t="n"/>
      <c r="O188" s="11" t="n"/>
    </row>
    <row r="189">
      <c r="A189" s="21" t="n"/>
      <c r="B189" s="11" t="n"/>
      <c r="C189" s="11" t="n"/>
      <c r="D189" s="11" t="n"/>
      <c r="E189" s="11" t="n"/>
      <c r="F189" s="22">
        <f>IF(A189="","",SUM(C189:E189))</f>
        <v/>
      </c>
      <c r="G189" s="11" t="n"/>
      <c r="H189" s="23">
        <f>IF(OR(A189="",N(C189)=0),"",G189/C189)</f>
        <v/>
      </c>
      <c r="I189" s="11" t="n"/>
      <c r="J189" s="11" t="n"/>
      <c r="K189" s="12" t="n"/>
      <c r="L189" s="12" t="n"/>
      <c r="M189" s="11" t="n"/>
      <c r="N189" s="11" t="n"/>
      <c r="O189" s="11" t="n"/>
    </row>
    <row r="190">
      <c r="A190" s="21" t="n"/>
      <c r="B190" s="11" t="n"/>
      <c r="C190" s="11" t="n"/>
      <c r="D190" s="11" t="n"/>
      <c r="E190" s="11" t="n"/>
      <c r="F190" s="22">
        <f>IF(A190="","",SUM(C190:E190))</f>
        <v/>
      </c>
      <c r="G190" s="11" t="n"/>
      <c r="H190" s="23">
        <f>IF(OR(A190="",N(C190)=0),"",G190/C190)</f>
        <v/>
      </c>
      <c r="I190" s="11" t="n"/>
      <c r="J190" s="11" t="n"/>
      <c r="K190" s="12" t="n"/>
      <c r="L190" s="12" t="n"/>
      <c r="M190" s="11" t="n"/>
      <c r="N190" s="11" t="n"/>
      <c r="O190" s="11" t="n"/>
    </row>
    <row r="191">
      <c r="A191" s="21" t="n"/>
      <c r="B191" s="11" t="n"/>
      <c r="C191" s="11" t="n"/>
      <c r="D191" s="11" t="n"/>
      <c r="E191" s="11" t="n"/>
      <c r="F191" s="22">
        <f>IF(A191="","",SUM(C191:E191))</f>
        <v/>
      </c>
      <c r="G191" s="11" t="n"/>
      <c r="H191" s="23">
        <f>IF(OR(A191="",N(C191)=0),"",G191/C191)</f>
        <v/>
      </c>
      <c r="I191" s="11" t="n"/>
      <c r="J191" s="11" t="n"/>
      <c r="K191" s="12" t="n"/>
      <c r="L191" s="12" t="n"/>
      <c r="M191" s="11" t="n"/>
      <c r="N191" s="11" t="n"/>
      <c r="O191" s="11" t="n"/>
    </row>
    <row r="192">
      <c r="A192" s="21" t="n"/>
      <c r="B192" s="11" t="n"/>
      <c r="C192" s="11" t="n"/>
      <c r="D192" s="11" t="n"/>
      <c r="E192" s="11" t="n"/>
      <c r="F192" s="22">
        <f>IF(A192="","",SUM(C192:E192))</f>
        <v/>
      </c>
      <c r="G192" s="11" t="n"/>
      <c r="H192" s="23">
        <f>IF(OR(A192="",N(C192)=0),"",G192/C192)</f>
        <v/>
      </c>
      <c r="I192" s="11" t="n"/>
      <c r="J192" s="11" t="n"/>
      <c r="K192" s="12" t="n"/>
      <c r="L192" s="12" t="n"/>
      <c r="M192" s="11" t="n"/>
      <c r="N192" s="11" t="n"/>
      <c r="O192" s="11" t="n"/>
    </row>
    <row r="193">
      <c r="A193" s="21" t="n"/>
      <c r="B193" s="11" t="n"/>
      <c r="C193" s="11" t="n"/>
      <c r="D193" s="11" t="n"/>
      <c r="E193" s="11" t="n"/>
      <c r="F193" s="22">
        <f>IF(A193="","",SUM(C193:E193))</f>
        <v/>
      </c>
      <c r="G193" s="11" t="n"/>
      <c r="H193" s="23">
        <f>IF(OR(A193="",N(C193)=0),"",G193/C193)</f>
        <v/>
      </c>
      <c r="I193" s="11" t="n"/>
      <c r="J193" s="11" t="n"/>
      <c r="K193" s="12" t="n"/>
      <c r="L193" s="12" t="n"/>
      <c r="M193" s="11" t="n"/>
      <c r="N193" s="11" t="n"/>
      <c r="O193" s="11" t="n"/>
    </row>
    <row r="194">
      <c r="A194" s="21" t="n"/>
      <c r="B194" s="11" t="n"/>
      <c r="C194" s="11" t="n"/>
      <c r="D194" s="11" t="n"/>
      <c r="E194" s="11" t="n"/>
      <c r="F194" s="22">
        <f>IF(A194="","",SUM(C194:E194))</f>
        <v/>
      </c>
      <c r="G194" s="11" t="n"/>
      <c r="H194" s="23">
        <f>IF(OR(A194="",N(C194)=0),"",G194/C194)</f>
        <v/>
      </c>
      <c r="I194" s="11" t="n"/>
      <c r="J194" s="11" t="n"/>
      <c r="K194" s="12" t="n"/>
      <c r="L194" s="12" t="n"/>
      <c r="M194" s="11" t="n"/>
      <c r="N194" s="11" t="n"/>
      <c r="O194" s="11" t="n"/>
    </row>
    <row r="195">
      <c r="A195" s="21" t="n"/>
      <c r="B195" s="11" t="n"/>
      <c r="C195" s="11" t="n"/>
      <c r="D195" s="11" t="n"/>
      <c r="E195" s="11" t="n"/>
      <c r="F195" s="22">
        <f>IF(A195="","",SUM(C195:E195))</f>
        <v/>
      </c>
      <c r="G195" s="11" t="n"/>
      <c r="H195" s="23">
        <f>IF(OR(A195="",N(C195)=0),"",G195/C195)</f>
        <v/>
      </c>
      <c r="I195" s="11" t="n"/>
      <c r="J195" s="11" t="n"/>
      <c r="K195" s="12" t="n"/>
      <c r="L195" s="12" t="n"/>
      <c r="M195" s="11" t="n"/>
      <c r="N195" s="11" t="n"/>
      <c r="O195" s="11" t="n"/>
    </row>
    <row r="196">
      <c r="A196" s="21" t="n"/>
      <c r="B196" s="11" t="n"/>
      <c r="C196" s="11" t="n"/>
      <c r="D196" s="11" t="n"/>
      <c r="E196" s="11" t="n"/>
      <c r="F196" s="22">
        <f>IF(A196="","",SUM(C196:E196))</f>
        <v/>
      </c>
      <c r="G196" s="11" t="n"/>
      <c r="H196" s="23">
        <f>IF(OR(A196="",N(C196)=0),"",G196/C196)</f>
        <v/>
      </c>
      <c r="I196" s="11" t="n"/>
      <c r="J196" s="11" t="n"/>
      <c r="K196" s="12" t="n"/>
      <c r="L196" s="12" t="n"/>
      <c r="M196" s="11" t="n"/>
      <c r="N196" s="11" t="n"/>
      <c r="O196" s="11" t="n"/>
    </row>
    <row r="197">
      <c r="A197" s="21" t="n"/>
      <c r="B197" s="11" t="n"/>
      <c r="C197" s="11" t="n"/>
      <c r="D197" s="11" t="n"/>
      <c r="E197" s="11" t="n"/>
      <c r="F197" s="22">
        <f>IF(A197="","",SUM(C197:E197))</f>
        <v/>
      </c>
      <c r="G197" s="11" t="n"/>
      <c r="H197" s="23">
        <f>IF(OR(A197="",N(C197)=0),"",G197/C197)</f>
        <v/>
      </c>
      <c r="I197" s="11" t="n"/>
      <c r="J197" s="11" t="n"/>
      <c r="K197" s="12" t="n"/>
      <c r="L197" s="12" t="n"/>
      <c r="M197" s="11" t="n"/>
      <c r="N197" s="11" t="n"/>
      <c r="O197" s="11" t="n"/>
    </row>
    <row r="198">
      <c r="A198" s="21" t="n"/>
      <c r="B198" s="11" t="n"/>
      <c r="C198" s="11" t="n"/>
      <c r="D198" s="11" t="n"/>
      <c r="E198" s="11" t="n"/>
      <c r="F198" s="22">
        <f>IF(A198="","",SUM(C198:E198))</f>
        <v/>
      </c>
      <c r="G198" s="11" t="n"/>
      <c r="H198" s="23">
        <f>IF(OR(A198="",N(C198)=0),"",G198/C198)</f>
        <v/>
      </c>
      <c r="I198" s="11" t="n"/>
      <c r="J198" s="11" t="n"/>
      <c r="K198" s="12" t="n"/>
      <c r="L198" s="12" t="n"/>
      <c r="M198" s="11" t="n"/>
      <c r="N198" s="11" t="n"/>
      <c r="O198" s="11" t="n"/>
    </row>
    <row r="199">
      <c r="A199" s="21" t="n"/>
      <c r="B199" s="11" t="n"/>
      <c r="C199" s="11" t="n"/>
      <c r="D199" s="11" t="n"/>
      <c r="E199" s="11" t="n"/>
      <c r="F199" s="22">
        <f>IF(A199="","",SUM(C199:E199))</f>
        <v/>
      </c>
      <c r="G199" s="11" t="n"/>
      <c r="H199" s="23">
        <f>IF(OR(A199="",N(C199)=0),"",G199/C199)</f>
        <v/>
      </c>
      <c r="I199" s="11" t="n"/>
      <c r="J199" s="11" t="n"/>
      <c r="K199" s="12" t="n"/>
      <c r="L199" s="12" t="n"/>
      <c r="M199" s="11" t="n"/>
      <c r="N199" s="11" t="n"/>
      <c r="O199" s="11" t="n"/>
    </row>
    <row r="200">
      <c r="A200" s="21" t="n"/>
      <c r="B200" s="11" t="n"/>
      <c r="C200" s="11" t="n"/>
      <c r="D200" s="11" t="n"/>
      <c r="E200" s="11" t="n"/>
      <c r="F200" s="22">
        <f>IF(A200="","",SUM(C200:E200))</f>
        <v/>
      </c>
      <c r="G200" s="11" t="n"/>
      <c r="H200" s="23">
        <f>IF(OR(A200="",N(C200)=0),"",G200/C200)</f>
        <v/>
      </c>
      <c r="I200" s="11" t="n"/>
      <c r="J200" s="11" t="n"/>
      <c r="K200" s="12" t="n"/>
      <c r="L200" s="12" t="n"/>
      <c r="M200" s="11" t="n"/>
      <c r="N200" s="11" t="n"/>
      <c r="O200" s="11" t="n"/>
    </row>
    <row r="201">
      <c r="A201" s="21" t="n"/>
      <c r="B201" s="11" t="n"/>
      <c r="C201" s="11" t="n"/>
      <c r="D201" s="11" t="n"/>
      <c r="E201" s="11" t="n"/>
      <c r="F201" s="22">
        <f>IF(A201="","",SUM(C201:E201))</f>
        <v/>
      </c>
      <c r="G201" s="11" t="n"/>
      <c r="H201" s="23">
        <f>IF(OR(A201="",N(C201)=0),"",G201/C201)</f>
        <v/>
      </c>
      <c r="I201" s="11" t="n"/>
      <c r="J201" s="11" t="n"/>
      <c r="K201" s="12" t="n"/>
      <c r="L201" s="12" t="n"/>
      <c r="M201" s="11" t="n"/>
      <c r="N201" s="11" t="n"/>
      <c r="O201" s="11" t="n"/>
    </row>
    <row r="202">
      <c r="A202" s="21" t="n"/>
      <c r="B202" s="11" t="n"/>
      <c r="C202" s="11" t="n"/>
      <c r="D202" s="11" t="n"/>
      <c r="E202" s="11" t="n"/>
      <c r="F202" s="22">
        <f>IF(A202="","",SUM(C202:E202))</f>
        <v/>
      </c>
      <c r="G202" s="11" t="n"/>
      <c r="H202" s="23">
        <f>IF(OR(A202="",N(C202)=0),"",G202/C202)</f>
        <v/>
      </c>
      <c r="I202" s="11" t="n"/>
      <c r="J202" s="11" t="n"/>
      <c r="K202" s="12" t="n"/>
      <c r="L202" s="12" t="n"/>
      <c r="M202" s="11" t="n"/>
      <c r="N202" s="11" t="n"/>
      <c r="O202" s="11" t="n"/>
    </row>
    <row r="203">
      <c r="A203" s="21" t="n"/>
      <c r="B203" s="11" t="n"/>
      <c r="C203" s="11" t="n"/>
      <c r="D203" s="11" t="n"/>
      <c r="E203" s="11" t="n"/>
      <c r="F203" s="22">
        <f>IF(A203="","",SUM(C203:E203))</f>
        <v/>
      </c>
      <c r="G203" s="11" t="n"/>
      <c r="H203" s="23">
        <f>IF(OR(A203="",N(C203)=0),"",G203/C203)</f>
        <v/>
      </c>
      <c r="I203" s="11" t="n"/>
      <c r="J203" s="11" t="n"/>
      <c r="K203" s="12" t="n"/>
      <c r="L203" s="12" t="n"/>
      <c r="M203" s="11" t="n"/>
      <c r="N203" s="11" t="n"/>
      <c r="O203" s="11" t="n"/>
    </row>
    <row r="204">
      <c r="A204" s="21" t="n"/>
      <c r="B204" s="11" t="n"/>
      <c r="C204" s="11" t="n"/>
      <c r="D204" s="11" t="n"/>
      <c r="E204" s="11" t="n"/>
      <c r="F204" s="22">
        <f>IF(A204="","",SUM(C204:E204))</f>
        <v/>
      </c>
      <c r="G204" s="11" t="n"/>
      <c r="H204" s="23">
        <f>IF(OR(A204="",N(C204)=0),"",G204/C204)</f>
        <v/>
      </c>
      <c r="I204" s="11" t="n"/>
      <c r="J204" s="11" t="n"/>
      <c r="K204" s="12" t="n"/>
      <c r="L204" s="12" t="n"/>
      <c r="M204" s="11" t="n"/>
      <c r="N204" s="11" t="n"/>
      <c r="O204" s="11" t="n"/>
    </row>
  </sheetData>
  <dataValidations count="2">
    <dataValidation sqref="A5:A204" showDropDown="0" showInputMessage="0" showErrorMessage="1" allowBlank="0" errorTitle="日付" error="日付を入力してください（例 2026/9/29）" type="date" operator="greaterThan">
      <formula1>DATE(2020,1,1)</formula1>
    </dataValidation>
    <dataValidation sqref="B5:E204 G5:G204 I5:N204" showDropDown="0" showInputMessage="0" showErrorMessage="1" allowBlank="0" error="0以上の数値を入力してください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2026-09-29T10:07:30Z</dcterms:created>
  <dcterms:modified xsi:type="dcterms:W3CDTF">2026-09-29T10:07:31Z</dcterms:modified>
</cp:coreProperties>
</file>